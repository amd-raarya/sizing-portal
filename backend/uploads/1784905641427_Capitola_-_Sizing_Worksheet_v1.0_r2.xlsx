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codeName="ThisWorkbook" defaultThemeVersion="166925"/>
  <mc:AlternateContent xmlns:mc="http://schemas.openxmlformats.org/markup-compatibility/2006">
    <mc:Choice Requires="x15">
      <x15ac:absPath xmlns:x15ac="http://schemas.microsoft.com/office/spreadsheetml/2010/11/ac" url="C:\Users\raarya\Desktop\Capitola v1.0\Capitola v1.0 r2\"/>
    </mc:Choice>
  </mc:AlternateContent>
  <xr:revisionPtr revIDLastSave="0" documentId="13_ncr:1_{5F01485E-57BA-498B-87F5-B771D7469865}" xr6:coauthVersionLast="47" xr6:coauthVersionMax="47" xr10:uidLastSave="{00000000-0000-0000-0000-000000000000}"/>
  <bookViews>
    <workbookView xWindow="12615" yWindow="-16440" windowWidth="29040" windowHeight="15720" tabRatio="822" firstSheet="1" activeTab="1" xr2:uid="{1DBA5DCC-3A90-480F-9473-355008C10D7D}"/>
  </bookViews>
  <sheets>
    <sheet name="Capitola v1.0" sheetId="78" state="hidden" r:id="rId1"/>
    <sheet name="Capitola v1.0 r2 (EPD)" sheetId="81" r:id="rId2"/>
    <sheet name="Capitola v1.0 r2 (PAVS)" sheetId="80" r:id="rId3"/>
    <sheet name="Assumptions" sheetId="65" r:id="rId4"/>
    <sheet name="Info" sheetId="42" state="hidden" r:id="rId5"/>
    <sheet name="Pivot" sheetId="79" state="hidden" r:id="rId6"/>
    <sheet name="StatusTracking" sheetId="67" state="hidden" r:id="rId7"/>
    <sheet name="BrowserTab" sheetId="28" state="hidden" r:id="rId8"/>
    <sheet name="Instructions" sheetId="56" state="hidden" r:id="rId9"/>
    <sheet name="LUT" sheetId="33" state="hidden" r:id="rId10"/>
    <sheet name="Ramp Scenarios" sheetId="63" state="hidden" r:id="rId11"/>
  </sheets>
  <externalReferences>
    <externalReference r:id="rId12"/>
    <externalReference r:id="rId13"/>
  </externalReferences>
  <definedNames>
    <definedName name="_xlnm._FilterDatabase" localSheetId="3" hidden="1">Assumptions!$A$2:$D$20</definedName>
    <definedName name="_xlnm._FilterDatabase" localSheetId="0" hidden="1">'Capitola v1.0'!$A$13:$AP$66</definedName>
    <definedName name="_xlnm._FilterDatabase" localSheetId="1" hidden="1">'Capitola v1.0 r2 (EPD)'!$A$13:$AM$16</definedName>
    <definedName name="_xlnm._FilterDatabase" localSheetId="2" hidden="1">'Capitola v1.0 r2 (PAVS)'!$A$13:$AM$67</definedName>
    <definedName name="_xlnm._FilterDatabase" localSheetId="9" hidden="1">LUT!$B$2:$D$141</definedName>
    <definedName name="AS2DocOpenMode" hidden="1">"AS2DocumentEdit"</definedName>
    <definedName name="AS2HasNoAutoHeaderFooter" hidden="1">" "</definedName>
    <definedName name="Chris">_xlfn.ANCHORARRAY(LUT!$O$3)</definedName>
    <definedName name="ChrisTeam">_xlfn.ANCHORARRAY(LUT!$W$3)</definedName>
    <definedName name="CVP">LUT!$M$3:$M$9</definedName>
    <definedName name="EV__CVPARAMS__" hidden="1">"Nested Row!$B$20:$C$41;"</definedName>
    <definedName name="EV__EVCOM_OPTIONS__" hidden="1">8</definedName>
    <definedName name="EV__EVCOMOPTS__" hidden="1">14</definedName>
    <definedName name="EV__EXPOPTIONS__" hidden="1">0</definedName>
    <definedName name="EV__LASTREFTIME__" hidden="1">39049.4765393519</definedName>
    <definedName name="EV__LASTREFTIME___1" hidden="1">39146.428587963</definedName>
    <definedName name="EV__LOCKEDCVW__CAPITAL" hidden="1">"UNIT,CAPAST,ACTUAL,100712,LC,2003.TOTAL,PERIODIC,"</definedName>
    <definedName name="EV__LOCKEDCVW__CONTRIBUTION" hidden="1">"TOTALREVENUE,XFATTL,YRPLAN,TOTWITHCORPADJ,100780,LC,2006.TOTAL,PERIODIC,"</definedName>
    <definedName name="EV__LOCKEDCVW__ENGINEERING" hidden="1">"ACTUAL,ALLENG,XRICKB,ASALARY,LC,2003.TOTAL,PERIODIC,"</definedName>
    <definedName name="EV__LOCKEDCVW__HCM" hidden="1">"YRPLAN,ALLATI,100805,MSALARY,ATIHEAD,LC,2006.TOTAL,PERIODIC,"</definedName>
    <definedName name="EV__LOCKEDCVW__RATE" hidden="1">"ACTUAL,USD,PLAN,RATEINPUT,2003.TOTAL,PERIODIC,"</definedName>
    <definedName name="EV__LOCKSTATUS__" hidden="1">1</definedName>
    <definedName name="EV__MAXEXPCOLS__" hidden="1">100</definedName>
    <definedName name="EV__MAXEXPROWS__" hidden="1">5000</definedName>
    <definedName name="EV__MEMORYCVW__" hidden="1">1</definedName>
    <definedName name="EV__MEMORYCVW__BOOK1" hidden="1">"[EXPENSE"</definedName>
    <definedName name="EV__MEMORYCVW__BOOK1_COMPANYCODE" hidden="1">"[ALL"</definedName>
    <definedName name="EV__MEMORYCVW__BOOK1_COSTCENTER" hidden="1">"[1AMDE_GPG"</definedName>
    <definedName name="EV__MEMORYCVW__BOOK1_COSTELEMENT" hidden="1">"[1AMD20.2010"</definedName>
    <definedName name="EV__MEMORYCVW__BOOK1_CURRENCY" hidden="1">"[USD"</definedName>
    <definedName name="EV__MEMORYCVW__BOOK1_DATASRC" hidden="1">"[UPLOAD"</definedName>
    <definedName name="EV__MEMORYCVW__BOOK1_FUNCAREA" hidden="1">"[OPEX"</definedName>
    <definedName name="EV__MEMORYCVW__BOOK1_MEASURES" hidden="1">"[PERIODIC"</definedName>
    <definedName name="EV__MEMORYCVW__BOOK1_PROFITCENTER" hidden="1">"[ALL_PF"</definedName>
    <definedName name="EV__MEMORYCVW__BOOK1_TIME" hidden="1">"[2012.Q4"</definedName>
    <definedName name="EV__MEMORYCVW__BOOK1_VERSION" hidden="1">"[V312"</definedName>
    <definedName name="EV__MEMORYCVW__BOOK2" hidden="1">"[EXPENSE"</definedName>
    <definedName name="EV__MEMORYCVW__BOOK2_COMPANYCODE" hidden="1">"[ALL"</definedName>
    <definedName name="EV__MEMORYCVW__BOOK2_COSTCENTER" hidden="1">"[1AMDE_GPG"</definedName>
    <definedName name="EV__MEMORYCVW__BOOK2_COSTELEMENT" hidden="1">"[1AMD20.2010"</definedName>
    <definedName name="EV__MEMORYCVW__BOOK2_CURRENCY" hidden="1">"[USD"</definedName>
    <definedName name="EV__MEMORYCVW__BOOK2_DATASRC" hidden="1">"[UPLOAD"</definedName>
    <definedName name="EV__MEMORYCVW__BOOK2_FUNCAREA" hidden="1">"[OPEX"</definedName>
    <definedName name="EV__MEMORYCVW__BOOK2_MEASURES" hidden="1">"[PERIODIC"</definedName>
    <definedName name="EV__MEMORYCVW__BOOK2_PROFITCENTER" hidden="1">"[ALL_PF"</definedName>
    <definedName name="EV__MEMORYCVW__BOOK2_TIME" hidden="1">"[2012.Q3"</definedName>
    <definedName name="EV__MEMORYCVW__BOOK2_VERSION" hidden="1">"[V212"</definedName>
    <definedName name="EV__MEMORYCVW__BOOK3" hidden="1">"[EXPENSE"</definedName>
    <definedName name="EV__MEMORYCVW__BOOK3_COMPANYCODE" hidden="1">"[ALL"</definedName>
    <definedName name="EV__MEMORYCVW__BOOK3_COSTCENTER" hidden="1">"[1AMDE_GPG"</definedName>
    <definedName name="EV__MEMORYCVW__BOOK3_COSTELEMENT" hidden="1">"[1AMD20.2010"</definedName>
    <definedName name="EV__MEMORYCVW__BOOK3_CURRENCY" hidden="1">"[USD"</definedName>
    <definedName name="EV__MEMORYCVW__BOOK3_DATASRC" hidden="1">"[UPLOAD"</definedName>
    <definedName name="EV__MEMORYCVW__BOOK3_FUNCAREA" hidden="1">"[OPEX"</definedName>
    <definedName name="EV__MEMORYCVW__BOOK3_MEASURES" hidden="1">"[PERIODIC"</definedName>
    <definedName name="EV__MEMORYCVW__BOOK3_PROFITCENTER" hidden="1">"[ALL_PF"</definedName>
    <definedName name="EV__MEMORYCVW__BOOK3_TIME" hidden="1">"[2012.Q4"</definedName>
    <definedName name="EV__MEMORYCVW__BOOK3_VERSION" hidden="1">"[V312"</definedName>
    <definedName name="EV__WBEVMODE__" hidden="1">0</definedName>
    <definedName name="EV__WBREFOPTIONS__" hidden="1">18</definedName>
    <definedName name="EV__WBREFOPTIONS___1" hidden="1">134217728</definedName>
    <definedName name="EV__WBVERSION__" hidden="1">0</definedName>
    <definedName name="EV__WSINFO__" hidden="1">"everest!2#"</definedName>
    <definedName name="HCType">LUT!$G$3:$G$6</definedName>
    <definedName name="Hugo">_xlfn.ANCHORARRAY(LUT!$P$3)</definedName>
    <definedName name="HugoTeam">_xlfn.ANCHORARRAY(LUT!$X$3)</definedName>
    <definedName name="Jeffrey">_xlfn.ANCHORARRAY(LUT!$U$3)</definedName>
    <definedName name="JeffreyTeam">_xlfn.ANCHORARRAY(LUT!$AC$3)</definedName>
    <definedName name="K2_WBEVMODE" hidden="1">0</definedName>
    <definedName name="kkkkkk" hidden="1">39146.428587963</definedName>
    <definedName name="labour">LUT!$H$3:$H$26</definedName>
    <definedName name="ListOffset" hidden="1">1</definedName>
    <definedName name="Location">LUT!$I$3:$I$26</definedName>
    <definedName name="Matthias">_xlfn.ANCHORARRAY(LUT!$Q$3)</definedName>
    <definedName name="MatthiasTeam">_xlfn.ANCHORARRAY(LUT!$Y$3)</definedName>
    <definedName name="Rodney">LUT!$N$3</definedName>
    <definedName name="RodneyTeam">_xlfn.ANCHORARRAY(LUT!$V$3)</definedName>
    <definedName name="SAPBEXhrIndnt" hidden="1">1</definedName>
    <definedName name="SAPBEXrevision" hidden="1">10</definedName>
    <definedName name="SAPBEXsysID" hidden="1">"BWP"</definedName>
    <definedName name="SAPBEXwbID" hidden="1">"5LT9FX7GAT96MZS8OH80TEN6G"</definedName>
    <definedName name="Scenarios">'Ramp Scenarios'!$B$3:$B$11</definedName>
    <definedName name="Status">LUT!$J$3:$J$12</definedName>
    <definedName name="statusnote">LUT!$K$3:$K$12</definedName>
    <definedName name="Stephen">_xlfn.ANCHORARRAY(LUT!$R$3)</definedName>
    <definedName name="StephenTeam">_xlfn.ANCHORARRAY(LUT!$Z$3)</definedName>
    <definedName name="Syed">_xlfn.ANCHORARRAY(LUT!$S$3)</definedName>
    <definedName name="SyedTeam">_xlfn.ANCHORARRAY(LUT!$AA$3)</definedName>
    <definedName name="Terry">_xlfn.ANCHORARRAY(LUT!$T$3)</definedName>
    <definedName name="TerryTeam">_xlfn.ANCHORARRAY(LUT!$AB$3)</definedName>
    <definedName name="Z_5B9870C7_8283_4109_85E3_74627CCC9C91_.wvu.FilterData" localSheetId="3" hidden="1">#REF!</definedName>
    <definedName name="Z_5B9870C7_8283_4109_85E3_74627CCC9C91_.wvu.FilterData" hidden="1">#REF!</definedName>
    <definedName name="Z_5bsdfs" localSheetId="3" hidden="1">#REF!</definedName>
    <definedName name="Z_5bsdfs" localSheetId="9" hidden="1">#REF!</definedName>
    <definedName name="Z_5bsdfs" hidden="1">#REF!</definedName>
    <definedName name="Z_694987C1_A483_11D4_A1EF_000102AB6CF6_.wvu.Cols" localSheetId="9" hidden="1">#REF!,#REF!</definedName>
    <definedName name="Z_694987C1_A483_11D4_A1EF_000102AB6CF6_.wvu.Cols" hidden="1">#REF!,#REF!</definedName>
    <definedName name="Z_694987C1_A483_11D4_A1EF_000102AB6CF6_.wvu.PrintArea" localSheetId="9" hidden="1">#REF!</definedName>
    <definedName name="Z_694987C1_A483_11D4_A1EF_000102AB6CF6_.wvu.PrintArea" hidden="1">#REF!</definedName>
    <definedName name="Z_694987C1_A483_11D4_A1EF_000102AB6CF6_.wvu.Rows" localSheetId="9" hidden="1">#REF!,#REF!</definedName>
    <definedName name="Z_694987C1_A483_11D4_A1EF_000102AB6CF6_.wvu.Rows" hidden="1">#REF!,#REF!</definedName>
    <definedName name="Z_7CC739C6_BC45_4674_990D_5122F4E5F9F4_.wvu.Cols" localSheetId="9" hidden="1">#REF!</definedName>
    <definedName name="Z_7CC739C6_BC45_4674_990D_5122F4E5F9F4_.wvu.Cols" hidden="1">#REF!</definedName>
    <definedName name="Z_7CC739C6_BC45_4674_990D_5122F4E5F9F4_.wvu.PrintArea" localSheetId="9" hidden="1">#REF!</definedName>
    <definedName name="Z_7CC739C6_BC45_4674_990D_5122F4E5F9F4_.wvu.PrintArea" hidden="1">#REF!</definedName>
  </definedNames>
  <calcPr calcId="191028"/>
  <pivotCaches>
    <pivotCache cacheId="1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7" i="81" l="1"/>
  <c r="AK17" i="81"/>
  <c r="AJ23" i="81" l="1" a="1"/>
  <c r="AJ23" i="81" s="1"/>
  <c r="AJ28" i="81" s="1"/>
  <c r="AI23" i="81" a="1"/>
  <c r="AI23" i="81" s="1"/>
  <c r="AI28" i="81" s="1"/>
  <c r="AH23" i="81" a="1"/>
  <c r="AH23" i="81" s="1"/>
  <c r="AH28" i="81" s="1"/>
  <c r="AG23" i="81" a="1"/>
  <c r="AG23" i="81" s="1"/>
  <c r="AG28" i="81" s="1"/>
  <c r="AF23" i="81" a="1"/>
  <c r="AF23" i="81" s="1"/>
  <c r="AF28" i="81" s="1"/>
  <c r="AE23" i="81" a="1"/>
  <c r="AE23" i="81" s="1"/>
  <c r="AE28" i="81" s="1"/>
  <c r="AD23" i="81" a="1"/>
  <c r="AD23" i="81" s="1"/>
  <c r="AD28" i="81" s="1"/>
  <c r="AC23" i="81" a="1"/>
  <c r="AC23" i="81" s="1"/>
  <c r="AC28" i="81" s="1"/>
  <c r="AJ22" i="81" a="1"/>
  <c r="AJ22" i="81" s="1"/>
  <c r="AJ24" i="81" s="1"/>
  <c r="AI22" i="81" a="1"/>
  <c r="AI22" i="81" s="1"/>
  <c r="AI24" i="81" s="1"/>
  <c r="AH22" i="81" a="1"/>
  <c r="AH22" i="81" s="1"/>
  <c r="AH24" i="81" s="1"/>
  <c r="AG22" i="81" a="1"/>
  <c r="AG22" i="81" s="1"/>
  <c r="AG24" i="81" s="1"/>
  <c r="AF22" i="81" a="1"/>
  <c r="AF22" i="81" s="1"/>
  <c r="AF24" i="81" s="1"/>
  <c r="AE22" i="81" a="1"/>
  <c r="AE22" i="81" s="1"/>
  <c r="AE24" i="81" s="1"/>
  <c r="AD22" i="81" a="1"/>
  <c r="AD22" i="81" s="1"/>
  <c r="AD24" i="81" s="1"/>
  <c r="AC22" i="81" a="1"/>
  <c r="AC22" i="81" s="1"/>
  <c r="AC24" i="81" s="1"/>
  <c r="AJ20" i="81" a="1"/>
  <c r="AJ20" i="81" s="1"/>
  <c r="AJ27" i="81" s="1"/>
  <c r="AI20" i="81" a="1"/>
  <c r="AI20" i="81" s="1"/>
  <c r="AH20" i="81" a="1"/>
  <c r="AH20" i="81" s="1"/>
  <c r="AG20" i="81" a="1"/>
  <c r="AG20" i="81" s="1"/>
  <c r="AG27" i="81" s="1"/>
  <c r="AF20" i="81" a="1"/>
  <c r="AF20" i="81" s="1"/>
  <c r="AE20" i="81" a="1"/>
  <c r="AE20" i="81" s="1"/>
  <c r="AD20" i="81" a="1"/>
  <c r="AD20" i="81" s="1"/>
  <c r="AC20" i="81" a="1"/>
  <c r="AC20" i="81" s="1"/>
  <c r="AC27" i="81" s="1"/>
  <c r="AB20" i="81" a="1"/>
  <c r="AB20" i="81" s="1"/>
  <c r="AA20" i="81" a="1"/>
  <c r="AA20" i="81" s="1"/>
  <c r="Z20" i="81" a="1"/>
  <c r="Z20" i="81" s="1"/>
  <c r="Y20" i="81" a="1"/>
  <c r="Y20" i="81" s="1"/>
  <c r="X20" i="81" a="1"/>
  <c r="X20" i="81" s="1"/>
  <c r="W20" i="81" a="1"/>
  <c r="W20" i="81" s="1"/>
  <c r="V20" i="81" a="1"/>
  <c r="V20" i="81" s="1"/>
  <c r="U20" i="81" a="1"/>
  <c r="U20" i="81" s="1"/>
  <c r="T20" i="81" a="1"/>
  <c r="T20" i="81" s="1"/>
  <c r="S20" i="81" a="1"/>
  <c r="S20" i="81" s="1"/>
  <c r="R20" i="81" a="1"/>
  <c r="R20" i="81" s="1"/>
  <c r="Q20" i="81" a="1"/>
  <c r="Q20" i="81" s="1"/>
  <c r="P20" i="81" a="1"/>
  <c r="P20" i="81" s="1"/>
  <c r="O20" i="81" a="1"/>
  <c r="O20" i="81" s="1"/>
  <c r="N20" i="81" a="1"/>
  <c r="N20" i="81" s="1"/>
  <c r="M20" i="81" a="1"/>
  <c r="M20" i="81" s="1"/>
  <c r="L20" i="81" a="1"/>
  <c r="L20" i="81" s="1"/>
  <c r="K20" i="81" a="1"/>
  <c r="K20" i="81" s="1"/>
  <c r="J20" i="81" a="1"/>
  <c r="J20" i="81" s="1"/>
  <c r="I20" i="81" a="1"/>
  <c r="I20" i="81" s="1"/>
  <c r="AJ19" i="81" a="1"/>
  <c r="AJ19" i="81" s="1"/>
  <c r="AI19" i="81" a="1"/>
  <c r="AI19" i="81" s="1"/>
  <c r="AI21" i="81" s="1"/>
  <c r="AH19" i="81" a="1"/>
  <c r="AH19" i="81" s="1"/>
  <c r="AG19" i="81" a="1"/>
  <c r="AG19" i="81" s="1"/>
  <c r="AF19" i="81" a="1"/>
  <c r="AF19" i="81" s="1"/>
  <c r="AE19" i="81" a="1"/>
  <c r="AE19" i="81" s="1"/>
  <c r="AE21" i="81" s="1"/>
  <c r="AD19" i="81" a="1"/>
  <c r="AD19" i="81" s="1"/>
  <c r="AC19" i="81" a="1"/>
  <c r="AC19" i="81" s="1"/>
  <c r="AB19" i="81" a="1"/>
  <c r="AB19" i="81" s="1"/>
  <c r="AA19" i="81" a="1"/>
  <c r="AA19" i="81" s="1"/>
  <c r="AA21" i="81" s="1"/>
  <c r="Z19" i="81" a="1"/>
  <c r="Z19" i="81" s="1"/>
  <c r="Z21" i="81" s="1"/>
  <c r="Y19" i="81" a="1"/>
  <c r="Y19" i="81" s="1"/>
  <c r="X19" i="81" a="1"/>
  <c r="X19" i="81" s="1"/>
  <c r="W19" i="81" a="1"/>
  <c r="W19" i="81" s="1"/>
  <c r="V19" i="81" a="1"/>
  <c r="V19" i="81" s="1"/>
  <c r="U19" i="81" a="1"/>
  <c r="U19" i="81" s="1"/>
  <c r="T19" i="81" a="1"/>
  <c r="T19" i="81" s="1"/>
  <c r="S19" i="81" a="1"/>
  <c r="S19" i="81" s="1"/>
  <c r="R19" i="81" a="1"/>
  <c r="R19" i="81" s="1"/>
  <c r="R21" i="81" s="1"/>
  <c r="Q19" i="81" a="1"/>
  <c r="Q19" i="81" s="1"/>
  <c r="Q21" i="81" s="1"/>
  <c r="P19" i="81" a="1"/>
  <c r="P19" i="81" s="1"/>
  <c r="P21" i="81" s="1"/>
  <c r="O19" i="81" a="1"/>
  <c r="O19" i="81" s="1"/>
  <c r="O21" i="81" s="1"/>
  <c r="N19" i="81" a="1"/>
  <c r="N19" i="81" s="1"/>
  <c r="M19" i="81" a="1"/>
  <c r="M19" i="81" s="1"/>
  <c r="L19" i="81" a="1"/>
  <c r="L19" i="81" s="1"/>
  <c r="K19" i="81" a="1"/>
  <c r="K19" i="81" s="1"/>
  <c r="J19" i="81" a="1"/>
  <c r="J19" i="81" s="1"/>
  <c r="I19" i="81" a="1"/>
  <c r="I19" i="81" s="1"/>
  <c r="AL16" i="81"/>
  <c r="AK16" i="81"/>
  <c r="AL15" i="81"/>
  <c r="AK15" i="81"/>
  <c r="AL14" i="81"/>
  <c r="AK14" i="81"/>
  <c r="AK19" i="81" a="1"/>
  <c r="AK19" i="81" s="1"/>
  <c r="I13" i="81"/>
  <c r="J13" i="81" s="1"/>
  <c r="K13" i="81" s="1"/>
  <c r="L13" i="81" s="1"/>
  <c r="M12" i="81"/>
  <c r="Q12" i="81" s="1"/>
  <c r="A9" i="81"/>
  <c r="AK33" i="80"/>
  <c r="AL33" i="80"/>
  <c r="AL24" i="80"/>
  <c r="AK24" i="80"/>
  <c r="AL23" i="80"/>
  <c r="AK23" i="80"/>
  <c r="AK22" i="80"/>
  <c r="AL22" i="80"/>
  <c r="AL20" i="80"/>
  <c r="AK20" i="80"/>
  <c r="AC29" i="81" l="1"/>
  <c r="AE29" i="81"/>
  <c r="AF29" i="81"/>
  <c r="AL12" i="81"/>
  <c r="AK12" i="81"/>
  <c r="M13" i="81"/>
  <c r="N13" i="81" s="1"/>
  <c r="O13" i="81" s="1"/>
  <c r="P13" i="81" s="1"/>
  <c r="K21" i="81"/>
  <c r="Y21" i="81"/>
  <c r="AD27" i="81"/>
  <c r="AD25" i="81"/>
  <c r="AD21" i="81"/>
  <c r="AE27" i="81"/>
  <c r="AE25" i="81"/>
  <c r="AC21" i="81"/>
  <c r="AG29" i="81"/>
  <c r="AG21" i="81"/>
  <c r="AJ21" i="81"/>
  <c r="AD29" i="81"/>
  <c r="AB21" i="81"/>
  <c r="U21" i="81"/>
  <c r="X21" i="81"/>
  <c r="L21" i="81"/>
  <c r="M21" i="81"/>
  <c r="N21" i="81"/>
  <c r="AF27" i="81"/>
  <c r="AF25" i="81"/>
  <c r="AH27" i="81"/>
  <c r="AH25" i="81"/>
  <c r="AH21" i="81"/>
  <c r="U12" i="81"/>
  <c r="Q13" i="81"/>
  <c r="R13" i="81" s="1"/>
  <c r="S13" i="81" s="1"/>
  <c r="T13" i="81" s="1"/>
  <c r="S21" i="81"/>
  <c r="AI27" i="81"/>
  <c r="AI25" i="81"/>
  <c r="AL20" i="81"/>
  <c r="AI29" i="81"/>
  <c r="AJ29" i="81"/>
  <c r="T21" i="81"/>
  <c r="AH29" i="81"/>
  <c r="V21" i="81"/>
  <c r="AF21" i="81"/>
  <c r="AL19" i="81"/>
  <c r="I21" i="81"/>
  <c r="J21" i="81"/>
  <c r="W21" i="81"/>
  <c r="AC25" i="81"/>
  <c r="AG25" i="81"/>
  <c r="AK20" i="81" a="1"/>
  <c r="AK20" i="81" s="1"/>
  <c r="AK21" i="81" s="1"/>
  <c r="AJ25" i="81"/>
  <c r="AJ73" i="80" a="1"/>
  <c r="AJ73" i="80" s="1"/>
  <c r="AJ78" i="80" s="1"/>
  <c r="AI73" i="80" a="1"/>
  <c r="AI73" i="80" s="1"/>
  <c r="AI78" i="80" s="1"/>
  <c r="AH73" i="80" a="1"/>
  <c r="AH73" i="80" s="1"/>
  <c r="AH78" i="80" s="1"/>
  <c r="AG73" i="80" a="1"/>
  <c r="AG73" i="80" s="1"/>
  <c r="AG78" i="80" s="1"/>
  <c r="AF73" i="80" a="1"/>
  <c r="AF73" i="80" s="1"/>
  <c r="AF78" i="80" s="1"/>
  <c r="AE73" i="80" a="1"/>
  <c r="AE73" i="80" s="1"/>
  <c r="AE78" i="80" s="1"/>
  <c r="AD73" i="80" a="1"/>
  <c r="AD73" i="80" s="1"/>
  <c r="AD78" i="80" s="1"/>
  <c r="AC73" i="80" a="1"/>
  <c r="AC73" i="80" s="1"/>
  <c r="AC78" i="80" s="1"/>
  <c r="AJ72" i="80" a="1"/>
  <c r="AJ72" i="80" s="1"/>
  <c r="AJ74" i="80" s="1"/>
  <c r="AI72" i="80" a="1"/>
  <c r="AI72" i="80" s="1"/>
  <c r="AI74" i="80" s="1"/>
  <c r="AH72" i="80" a="1"/>
  <c r="AH72" i="80" s="1"/>
  <c r="AH74" i="80" s="1"/>
  <c r="AG72" i="80" a="1"/>
  <c r="AG72" i="80" s="1"/>
  <c r="AG74" i="80" s="1"/>
  <c r="AF72" i="80" a="1"/>
  <c r="AF72" i="80" s="1"/>
  <c r="AF74" i="80" s="1"/>
  <c r="AE72" i="80" a="1"/>
  <c r="AE72" i="80" s="1"/>
  <c r="AE74" i="80" s="1"/>
  <c r="AD72" i="80" a="1"/>
  <c r="AD72" i="80" s="1"/>
  <c r="AD74" i="80" s="1"/>
  <c r="AC72" i="80" a="1"/>
  <c r="AC72" i="80" s="1"/>
  <c r="AC74" i="80" s="1"/>
  <c r="AJ70" i="80" a="1"/>
  <c r="AJ70" i="80" s="1"/>
  <c r="AJ77" i="80" s="1"/>
  <c r="AI70" i="80" a="1"/>
  <c r="AI70" i="80" s="1"/>
  <c r="AH70" i="80" a="1"/>
  <c r="AH70" i="80" s="1"/>
  <c r="AH77" i="80" s="1"/>
  <c r="AG70" i="80" a="1"/>
  <c r="AG70" i="80" s="1"/>
  <c r="AG77" i="80" s="1"/>
  <c r="AF70" i="80" a="1"/>
  <c r="AF70" i="80" s="1"/>
  <c r="AE70" i="80" a="1"/>
  <c r="AE70" i="80" s="1"/>
  <c r="AE77" i="80" s="1"/>
  <c r="AD70" i="80" a="1"/>
  <c r="AD70" i="80" s="1"/>
  <c r="AC70" i="80" a="1"/>
  <c r="AC70" i="80" s="1"/>
  <c r="AC77" i="80" s="1"/>
  <c r="AB70" i="80" a="1"/>
  <c r="AB70" i="80" s="1"/>
  <c r="AA70" i="80" a="1"/>
  <c r="AA70" i="80" s="1"/>
  <c r="Z70" i="80" a="1"/>
  <c r="Z70" i="80" s="1"/>
  <c r="Y70" i="80" a="1"/>
  <c r="Y70" i="80" s="1"/>
  <c r="X70" i="80" a="1"/>
  <c r="X70" i="80" s="1"/>
  <c r="W70" i="80" a="1"/>
  <c r="W70" i="80" s="1"/>
  <c r="V70" i="80" a="1"/>
  <c r="V70" i="80" s="1"/>
  <c r="U70" i="80" a="1"/>
  <c r="U70" i="80" s="1"/>
  <c r="T70" i="80" a="1"/>
  <c r="T70" i="80" s="1"/>
  <c r="S70" i="80" a="1"/>
  <c r="S70" i="80" s="1"/>
  <c r="R70" i="80" a="1"/>
  <c r="R70" i="80" s="1"/>
  <c r="Q70" i="80" a="1"/>
  <c r="Q70" i="80" s="1"/>
  <c r="P70" i="80" a="1"/>
  <c r="P70" i="80" s="1"/>
  <c r="O70" i="80" a="1"/>
  <c r="O70" i="80" s="1"/>
  <c r="N70" i="80" a="1"/>
  <c r="N70" i="80" s="1"/>
  <c r="M70" i="80" a="1"/>
  <c r="M70" i="80" s="1"/>
  <c r="L70" i="80" a="1"/>
  <c r="L70" i="80" s="1"/>
  <c r="K70" i="80" a="1"/>
  <c r="K70" i="80" s="1"/>
  <c r="J70" i="80" a="1"/>
  <c r="J70" i="80" s="1"/>
  <c r="I70" i="80" a="1"/>
  <c r="I70" i="80" s="1"/>
  <c r="AJ69" i="80" a="1"/>
  <c r="AJ69" i="80" s="1"/>
  <c r="AI69" i="80" a="1"/>
  <c r="AI69" i="80" s="1"/>
  <c r="AH69" i="80" a="1"/>
  <c r="AH69" i="80" s="1"/>
  <c r="AG69" i="80" a="1"/>
  <c r="AG69" i="80" s="1"/>
  <c r="AF69" i="80" a="1"/>
  <c r="AF69" i="80" s="1"/>
  <c r="AE69" i="80" a="1"/>
  <c r="AE69" i="80" s="1"/>
  <c r="AD69" i="80" a="1"/>
  <c r="AD69" i="80" s="1"/>
  <c r="AC69" i="80" a="1"/>
  <c r="AC69" i="80" s="1"/>
  <c r="AB69" i="80" a="1"/>
  <c r="AB69" i="80" s="1"/>
  <c r="AA69" i="80" a="1"/>
  <c r="AA69" i="80" s="1"/>
  <c r="Z69" i="80" a="1"/>
  <c r="Z69" i="80" s="1"/>
  <c r="Y69" i="80" a="1"/>
  <c r="Y69" i="80" s="1"/>
  <c r="X69" i="80" a="1"/>
  <c r="X69" i="80" s="1"/>
  <c r="W69" i="80" a="1"/>
  <c r="W69" i="80" s="1"/>
  <c r="V69" i="80" a="1"/>
  <c r="V69" i="80" s="1"/>
  <c r="U69" i="80" a="1"/>
  <c r="U69" i="80" s="1"/>
  <c r="T69" i="80" a="1"/>
  <c r="T69" i="80" s="1"/>
  <c r="S69" i="80" a="1"/>
  <c r="S69" i="80" s="1"/>
  <c r="R69" i="80" a="1"/>
  <c r="R69" i="80" s="1"/>
  <c r="Q69" i="80" a="1"/>
  <c r="Q69" i="80" s="1"/>
  <c r="P69" i="80" a="1"/>
  <c r="P69" i="80" s="1"/>
  <c r="O69" i="80" a="1"/>
  <c r="O69" i="80" s="1"/>
  <c r="N69" i="80" a="1"/>
  <c r="N69" i="80" s="1"/>
  <c r="M69" i="80" a="1"/>
  <c r="M69" i="80" s="1"/>
  <c r="L69" i="80" a="1"/>
  <c r="L69" i="80" s="1"/>
  <c r="K69" i="80" a="1"/>
  <c r="K69" i="80" s="1"/>
  <c r="J69" i="80" a="1"/>
  <c r="J69" i="80" s="1"/>
  <c r="I69" i="80" a="1"/>
  <c r="I69" i="80" s="1"/>
  <c r="AL67" i="80"/>
  <c r="AK67" i="80"/>
  <c r="A67" i="80" a="1"/>
  <c r="A67" i="80" s="1"/>
  <c r="AL66" i="80"/>
  <c r="AK66" i="80"/>
  <c r="A66" i="80" a="1"/>
  <c r="A66" i="80" s="1"/>
  <c r="AL65" i="80"/>
  <c r="AK65" i="80"/>
  <c r="A65" i="80" a="1"/>
  <c r="A65" i="80" s="1"/>
  <c r="AL64" i="80"/>
  <c r="AK64" i="80"/>
  <c r="A64" i="80" a="1"/>
  <c r="A64" i="80" s="1"/>
  <c r="AL63" i="80"/>
  <c r="AK63" i="80"/>
  <c r="A63" i="80" a="1"/>
  <c r="A63" i="80" s="1"/>
  <c r="AL62" i="80"/>
  <c r="AK62" i="80"/>
  <c r="A62" i="80" a="1"/>
  <c r="A62" i="80" s="1"/>
  <c r="AL61" i="80"/>
  <c r="AK61" i="80"/>
  <c r="A61" i="80" a="1"/>
  <c r="A61" i="80" s="1"/>
  <c r="AL60" i="80"/>
  <c r="AK60" i="80"/>
  <c r="A60" i="80" a="1"/>
  <c r="A60" i="80" s="1"/>
  <c r="AL59" i="80"/>
  <c r="AK59" i="80"/>
  <c r="A59" i="80" a="1"/>
  <c r="A59" i="80" s="1"/>
  <c r="AL58" i="80"/>
  <c r="AK58" i="80"/>
  <c r="A58" i="80" a="1"/>
  <c r="A58" i="80" s="1"/>
  <c r="AL57" i="80"/>
  <c r="AK57" i="80"/>
  <c r="A57" i="80" a="1"/>
  <c r="A57" i="80" s="1"/>
  <c r="AL56" i="80"/>
  <c r="AK56" i="80"/>
  <c r="A56" i="80" a="1"/>
  <c r="A56" i="80" s="1"/>
  <c r="AL55" i="80"/>
  <c r="AK55" i="80"/>
  <c r="A55" i="80" a="1"/>
  <c r="A55" i="80" s="1"/>
  <c r="AL54" i="80"/>
  <c r="AK54" i="80"/>
  <c r="A54" i="80" a="1"/>
  <c r="A54" i="80" s="1"/>
  <c r="AL53" i="80"/>
  <c r="AK53" i="80"/>
  <c r="A53" i="80" a="1"/>
  <c r="A53" i="80" s="1"/>
  <c r="AL52" i="80"/>
  <c r="AK52" i="80"/>
  <c r="A52" i="80" a="1"/>
  <c r="A52" i="80" s="1"/>
  <c r="AL51" i="80"/>
  <c r="AK51" i="80"/>
  <c r="A51" i="80" a="1"/>
  <c r="A51" i="80" s="1"/>
  <c r="AL50" i="80"/>
  <c r="AK50" i="80"/>
  <c r="A50" i="80" a="1"/>
  <c r="A50" i="80" s="1"/>
  <c r="AL49" i="80"/>
  <c r="AK49" i="80"/>
  <c r="A49" i="80" a="1"/>
  <c r="A49" i="80" s="1"/>
  <c r="AL48" i="80"/>
  <c r="AK48" i="80"/>
  <c r="A48" i="80" a="1"/>
  <c r="A48" i="80" s="1"/>
  <c r="AL47" i="80"/>
  <c r="AK47" i="80"/>
  <c r="A47" i="80" a="1"/>
  <c r="A47" i="80" s="1"/>
  <c r="AL46" i="80"/>
  <c r="AK46" i="80"/>
  <c r="A46" i="80" a="1"/>
  <c r="A46" i="80" s="1"/>
  <c r="AL45" i="80"/>
  <c r="AK45" i="80"/>
  <c r="A45" i="80" a="1"/>
  <c r="A45" i="80" s="1"/>
  <c r="AL44" i="80"/>
  <c r="AK44" i="80"/>
  <c r="A44" i="80" a="1"/>
  <c r="A44" i="80" s="1"/>
  <c r="AL43" i="80"/>
  <c r="AK43" i="80"/>
  <c r="AL42" i="80"/>
  <c r="AK42" i="80"/>
  <c r="AL41" i="80"/>
  <c r="AK41" i="80"/>
  <c r="AL40" i="80"/>
  <c r="AK40" i="80"/>
  <c r="AL39" i="80"/>
  <c r="AK39" i="80"/>
  <c r="AL38" i="80"/>
  <c r="AK38" i="80"/>
  <c r="AL37" i="80"/>
  <c r="AK37" i="80"/>
  <c r="AL36" i="80"/>
  <c r="AK36" i="80"/>
  <c r="AL35" i="80"/>
  <c r="AK35" i="80"/>
  <c r="AL34" i="80"/>
  <c r="AK34" i="80"/>
  <c r="AL32" i="80"/>
  <c r="AK32" i="80"/>
  <c r="AL31" i="80"/>
  <c r="AK31" i="80"/>
  <c r="AL30" i="80"/>
  <c r="AK30" i="80"/>
  <c r="AL29" i="80"/>
  <c r="AK29" i="80"/>
  <c r="AL28" i="80"/>
  <c r="AK28" i="80"/>
  <c r="AL27" i="80"/>
  <c r="AK27" i="80"/>
  <c r="AL26" i="80"/>
  <c r="AK26" i="80"/>
  <c r="AL25" i="80"/>
  <c r="AK25" i="80"/>
  <c r="AL21" i="80"/>
  <c r="AK21" i="80"/>
  <c r="AL19" i="80"/>
  <c r="AK19" i="80"/>
  <c r="AL18" i="80"/>
  <c r="AK18" i="80"/>
  <c r="AL17" i="80"/>
  <c r="AK17" i="80"/>
  <c r="AL16" i="80"/>
  <c r="AK16" i="80"/>
  <c r="AL15" i="80"/>
  <c r="AK15" i="80"/>
  <c r="AL14" i="80"/>
  <c r="AK14" i="80"/>
  <c r="I13" i="80"/>
  <c r="J13" i="80" s="1"/>
  <c r="K13" i="80" s="1"/>
  <c r="L13" i="80" s="1"/>
  <c r="M12" i="80"/>
  <c r="Q12" i="80" s="1"/>
  <c r="A9" i="80"/>
  <c r="AL18" i="78"/>
  <c r="AL17" i="78"/>
  <c r="AK18" i="78"/>
  <c r="AK17" i="78"/>
  <c r="AL16" i="78"/>
  <c r="AK16" i="78"/>
  <c r="AK28" i="78"/>
  <c r="AL28" i="78"/>
  <c r="AK19" i="78"/>
  <c r="AL19" i="78"/>
  <c r="AK20" i="78"/>
  <c r="AL20" i="78"/>
  <c r="AK21" i="78"/>
  <c r="AL21" i="78"/>
  <c r="AK22" i="78"/>
  <c r="AL22" i="78"/>
  <c r="AK29" i="78"/>
  <c r="AL29" i="78"/>
  <c r="AK30" i="78"/>
  <c r="AL30" i="78"/>
  <c r="O3" i="33" a="1"/>
  <c r="AK23" i="78"/>
  <c r="AL23" i="78"/>
  <c r="AK24" i="78"/>
  <c r="AL24" i="78"/>
  <c r="AK25" i="78"/>
  <c r="AL25" i="78"/>
  <c r="AK26" i="78"/>
  <c r="AL26" i="78"/>
  <c r="AK14" i="78"/>
  <c r="AL14" i="78"/>
  <c r="AK15" i="78"/>
  <c r="AL15" i="78"/>
  <c r="Y12" i="81" l="1"/>
  <c r="U13" i="81"/>
  <c r="V13" i="81" s="1"/>
  <c r="W13" i="81" s="1"/>
  <c r="X13" i="81" s="1"/>
  <c r="AL21" i="81"/>
  <c r="AB71" i="80"/>
  <c r="L71" i="80"/>
  <c r="N71" i="80"/>
  <c r="O71" i="80"/>
  <c r="AG71" i="80"/>
  <c r="AH71" i="80"/>
  <c r="AI71" i="80"/>
  <c r="M13" i="80"/>
  <c r="N13" i="80" s="1"/>
  <c r="O13" i="80" s="1"/>
  <c r="P13" i="80" s="1"/>
  <c r="AK12" i="80"/>
  <c r="AK69" i="80" a="1"/>
  <c r="AK69" i="80" s="1"/>
  <c r="AL12" i="80"/>
  <c r="V71" i="80"/>
  <c r="M71" i="80"/>
  <c r="J71" i="80"/>
  <c r="Z71" i="80"/>
  <c r="Y71" i="80"/>
  <c r="K71" i="80"/>
  <c r="AA71" i="80"/>
  <c r="AC79" i="80"/>
  <c r="AD79" i="80"/>
  <c r="W71" i="80"/>
  <c r="X71" i="80"/>
  <c r="AH79" i="80"/>
  <c r="AJ71" i="80"/>
  <c r="AE79" i="80"/>
  <c r="Q71" i="80"/>
  <c r="AC71" i="80"/>
  <c r="AE71" i="80"/>
  <c r="AC75" i="80"/>
  <c r="AL69" i="80"/>
  <c r="I71" i="80"/>
  <c r="AF75" i="80"/>
  <c r="AF77" i="80"/>
  <c r="P71" i="80"/>
  <c r="AL70" i="80"/>
  <c r="AI77" i="80"/>
  <c r="AI75" i="80"/>
  <c r="AF79" i="80"/>
  <c r="Q13" i="80"/>
  <c r="R13" i="80" s="1"/>
  <c r="S13" i="80" s="1"/>
  <c r="T13" i="80" s="1"/>
  <c r="U12" i="80"/>
  <c r="R71" i="80"/>
  <c r="AG79" i="80"/>
  <c r="S71" i="80"/>
  <c r="AD71" i="80"/>
  <c r="AD77" i="80"/>
  <c r="AD75" i="80"/>
  <c r="T71" i="80"/>
  <c r="U71" i="80"/>
  <c r="AI79" i="80"/>
  <c r="AF71" i="80"/>
  <c r="AJ79" i="80"/>
  <c r="AE75" i="80"/>
  <c r="AG75" i="80"/>
  <c r="AH75" i="80"/>
  <c r="AK70" i="80" a="1"/>
  <c r="AK70" i="80" s="1"/>
  <c r="AJ75" i="80"/>
  <c r="O3" i="33"/>
  <c r="Q3" i="33" a="1"/>
  <c r="Q3" i="33" s="1"/>
  <c r="Y13" i="81" l="1"/>
  <c r="Z13" i="81" s="1"/>
  <c r="AA13" i="81" s="1"/>
  <c r="AB13" i="81" s="1"/>
  <c r="AC12" i="81"/>
  <c r="AK71" i="80"/>
  <c r="U13" i="80"/>
  <c r="V13" i="80" s="1"/>
  <c r="W13" i="80" s="1"/>
  <c r="X13" i="80" s="1"/>
  <c r="Y12" i="80"/>
  <c r="AL71" i="80"/>
  <c r="AK65" i="78"/>
  <c r="AL65" i="78"/>
  <c r="Y3" i="33" a="1"/>
  <c r="Y3" i="33" s="1"/>
  <c r="AK31" i="78"/>
  <c r="AL31" i="78"/>
  <c r="AK32" i="78"/>
  <c r="AL32" i="78"/>
  <c r="AK33" i="78"/>
  <c r="AL33" i="78"/>
  <c r="AK34" i="78"/>
  <c r="AL34" i="78"/>
  <c r="AK35" i="78"/>
  <c r="AL35" i="78"/>
  <c r="AK36" i="78"/>
  <c r="AL36" i="78"/>
  <c r="AK37" i="78"/>
  <c r="AL37" i="78"/>
  <c r="AK38" i="78"/>
  <c r="AL38" i="78"/>
  <c r="AK39" i="78"/>
  <c r="AL39" i="78"/>
  <c r="AK40" i="78"/>
  <c r="AL40" i="78"/>
  <c r="AK41" i="78"/>
  <c r="AL41" i="78"/>
  <c r="AK42" i="78"/>
  <c r="AL42" i="78"/>
  <c r="AK43" i="78"/>
  <c r="AL43" i="78"/>
  <c r="AK44" i="78"/>
  <c r="AL44" i="78"/>
  <c r="AK45" i="78"/>
  <c r="AL45" i="78"/>
  <c r="AK46" i="78"/>
  <c r="AL46" i="78"/>
  <c r="AK47" i="78"/>
  <c r="AL47" i="78"/>
  <c r="AK48" i="78"/>
  <c r="AL48" i="78"/>
  <c r="AK49" i="78"/>
  <c r="AL49" i="78"/>
  <c r="AK50" i="78"/>
  <c r="AL50" i="78"/>
  <c r="AK51" i="78"/>
  <c r="AL51" i="78"/>
  <c r="AK52" i="78"/>
  <c r="AL52" i="78"/>
  <c r="AK53" i="78"/>
  <c r="AL53" i="78"/>
  <c r="AK54" i="78"/>
  <c r="AL54" i="78"/>
  <c r="AK55" i="78"/>
  <c r="AL55" i="78"/>
  <c r="AK56" i="78"/>
  <c r="AL56" i="78"/>
  <c r="AK57" i="78"/>
  <c r="AL57" i="78"/>
  <c r="AK58" i="78"/>
  <c r="AL58" i="78"/>
  <c r="AK59" i="78"/>
  <c r="AL59" i="78"/>
  <c r="AK60" i="78"/>
  <c r="AL60" i="78"/>
  <c r="AK61" i="78"/>
  <c r="AL61" i="78"/>
  <c r="AK62" i="78"/>
  <c r="AL62" i="78"/>
  <c r="AK63" i="78"/>
  <c r="AL63" i="78"/>
  <c r="AK64" i="78"/>
  <c r="AL64" i="78"/>
  <c r="AK66" i="78"/>
  <c r="AL66" i="78"/>
  <c r="AC13" i="81" l="1"/>
  <c r="AD13" i="81" s="1"/>
  <c r="AE13" i="81" s="1"/>
  <c r="AF13" i="81" s="1"/>
  <c r="AG12" i="81"/>
  <c r="AG13" i="81" s="1"/>
  <c r="AH13" i="81" s="1"/>
  <c r="AI13" i="81" s="1"/>
  <c r="AJ13" i="81" s="1"/>
  <c r="Y13" i="80"/>
  <c r="Z13" i="80" s="1"/>
  <c r="AA13" i="80" s="1"/>
  <c r="AB13" i="80" s="1"/>
  <c r="AC12" i="80"/>
  <c r="AJ69" i="78" a="1"/>
  <c r="AJ69" i="78" s="1"/>
  <c r="AI69" i="78" a="1"/>
  <c r="AI69" i="78" s="1"/>
  <c r="AH69" i="78" a="1"/>
  <c r="AH69" i="78" s="1"/>
  <c r="AG69" i="78" a="1"/>
  <c r="AG69" i="78" s="1"/>
  <c r="AF69" i="78" a="1"/>
  <c r="AF69" i="78" s="1"/>
  <c r="AE69" i="78" a="1"/>
  <c r="AE69" i="78" s="1"/>
  <c r="AD69" i="78" a="1"/>
  <c r="AD69" i="78" s="1"/>
  <c r="AC69" i="78" a="1"/>
  <c r="AC69" i="78" s="1"/>
  <c r="AB69" i="78" a="1"/>
  <c r="AB69" i="78" s="1"/>
  <c r="AA69" i="78" a="1"/>
  <c r="AA69" i="78" s="1"/>
  <c r="Z69" i="78" a="1"/>
  <c r="Z69" i="78" s="1"/>
  <c r="Y69" i="78" a="1"/>
  <c r="Y69" i="78" s="1"/>
  <c r="X69" i="78" a="1"/>
  <c r="X69" i="78" s="1"/>
  <c r="W69" i="78" a="1"/>
  <c r="W69" i="78" s="1"/>
  <c r="V69" i="78" a="1"/>
  <c r="V69" i="78" s="1"/>
  <c r="U69" i="78" a="1"/>
  <c r="U69" i="78" s="1"/>
  <c r="T69" i="78" a="1"/>
  <c r="T69" i="78" s="1"/>
  <c r="S69" i="78" a="1"/>
  <c r="S69" i="78" s="1"/>
  <c r="R69" i="78" a="1"/>
  <c r="R69" i="78" s="1"/>
  <c r="Q69" i="78" a="1"/>
  <c r="Q69" i="78" s="1"/>
  <c r="P69" i="78" a="1"/>
  <c r="P69" i="78" s="1"/>
  <c r="O69" i="78" a="1"/>
  <c r="O69" i="78" s="1"/>
  <c r="N69" i="78" a="1"/>
  <c r="N69" i="78" s="1"/>
  <c r="M69" i="78" a="1"/>
  <c r="M69" i="78" s="1"/>
  <c r="L69" i="78" a="1"/>
  <c r="L69" i="78" s="1"/>
  <c r="K69" i="78" a="1"/>
  <c r="K69" i="78" s="1"/>
  <c r="J69" i="78" a="1"/>
  <c r="J69" i="78" s="1"/>
  <c r="I69" i="78" a="1"/>
  <c r="I69" i="78" s="1"/>
  <c r="AJ68" i="78" a="1"/>
  <c r="AJ68" i="78" s="1"/>
  <c r="AI68" i="78" a="1"/>
  <c r="AI68" i="78" s="1"/>
  <c r="AH68" i="78" a="1"/>
  <c r="AH68" i="78" s="1"/>
  <c r="AG68" i="78" a="1"/>
  <c r="AG68" i="78" s="1"/>
  <c r="AF68" i="78" a="1"/>
  <c r="AF68" i="78" s="1"/>
  <c r="AE68" i="78" a="1"/>
  <c r="AE68" i="78" s="1"/>
  <c r="AD68" i="78" a="1"/>
  <c r="AD68" i="78" s="1"/>
  <c r="AC68" i="78" a="1"/>
  <c r="AC68" i="78" s="1"/>
  <c r="AB68" i="78" a="1"/>
  <c r="AB68" i="78" s="1"/>
  <c r="AA68" i="78" a="1"/>
  <c r="AA68" i="78" s="1"/>
  <c r="Z68" i="78" a="1"/>
  <c r="Z68" i="78" s="1"/>
  <c r="Y68" i="78" a="1"/>
  <c r="Y68" i="78" s="1"/>
  <c r="X68" i="78" a="1"/>
  <c r="X68" i="78" s="1"/>
  <c r="W68" i="78" a="1"/>
  <c r="W68" i="78" s="1"/>
  <c r="V68" i="78" a="1"/>
  <c r="V68" i="78" s="1"/>
  <c r="U68" i="78" a="1"/>
  <c r="U68" i="78" s="1"/>
  <c r="T68" i="78" a="1"/>
  <c r="T68" i="78" s="1"/>
  <c r="S68" i="78" a="1"/>
  <c r="S68" i="78" s="1"/>
  <c r="R68" i="78" a="1"/>
  <c r="R68" i="78" s="1"/>
  <c r="Q68" i="78" a="1"/>
  <c r="Q68" i="78" s="1"/>
  <c r="P68" i="78" a="1"/>
  <c r="P68" i="78" s="1"/>
  <c r="O68" i="78" a="1"/>
  <c r="O68" i="78" s="1"/>
  <c r="N68" i="78" a="1"/>
  <c r="N68" i="78" s="1"/>
  <c r="M68" i="78" a="1"/>
  <c r="M68" i="78" s="1"/>
  <c r="L68" i="78" a="1"/>
  <c r="L68" i="78" s="1"/>
  <c r="K68" i="78" a="1"/>
  <c r="K68" i="78" s="1"/>
  <c r="J68" i="78" a="1"/>
  <c r="J68" i="78" s="1"/>
  <c r="I68" i="78" a="1"/>
  <c r="I68" i="78" s="1"/>
  <c r="AL27" i="78"/>
  <c r="AK27" i="78"/>
  <c r="I13" i="78"/>
  <c r="J13" i="78" s="1"/>
  <c r="K13" i="78" s="1"/>
  <c r="L13" i="78" s="1"/>
  <c r="M12" i="78"/>
  <c r="Q12" i="78" s="1"/>
  <c r="A9" i="78"/>
  <c r="U3" i="33" a="1"/>
  <c r="U3" i="33" s="1"/>
  <c r="W3" i="33" a="1"/>
  <c r="W3" i="33" s="1"/>
  <c r="V3" i="33" a="1"/>
  <c r="V3" i="33" s="1"/>
  <c r="A56" i="78" a="1"/>
  <c r="A52" i="78" a="1"/>
  <c r="A46" i="78" a="1"/>
  <c r="A45" i="78" a="1"/>
  <c r="A44" i="78" a="1"/>
  <c r="A59" i="78" a="1"/>
  <c r="A49" i="78" a="1"/>
  <c r="A63" i="78" a="1"/>
  <c r="A58" i="78" a="1"/>
  <c r="A53" i="78" a="1"/>
  <c r="A50" i="78" a="1"/>
  <c r="A66" i="78" a="1"/>
  <c r="A48" i="78" a="1"/>
  <c r="A54" i="78" a="1"/>
  <c r="A62" i="78" a="1"/>
  <c r="A43" i="78" a="1"/>
  <c r="A61" i="78" a="1"/>
  <c r="A47" i="78" a="1"/>
  <c r="A64" i="78" a="1"/>
  <c r="A51" i="78" a="1"/>
  <c r="A60" i="78" a="1"/>
  <c r="A57" i="78" a="1"/>
  <c r="A65" i="78" a="1"/>
  <c r="A55" i="78" a="1"/>
  <c r="AG12" i="80" l="1"/>
  <c r="AG13" i="80" s="1"/>
  <c r="AH13" i="80" s="1"/>
  <c r="AI13" i="80" s="1"/>
  <c r="AJ13" i="80" s="1"/>
  <c r="AC13" i="80"/>
  <c r="AD13" i="80" s="1"/>
  <c r="AE13" i="80" s="1"/>
  <c r="AF13" i="80" s="1"/>
  <c r="AJ74" i="78"/>
  <c r="AH74" i="78"/>
  <c r="AE74" i="78"/>
  <c r="AG74" i="78"/>
  <c r="AC74" i="78"/>
  <c r="AD74" i="78"/>
  <c r="AF74" i="78"/>
  <c r="AI74" i="78"/>
  <c r="AK12" i="78"/>
  <c r="AL12" i="78"/>
  <c r="A65" i="78"/>
  <c r="A51" i="78"/>
  <c r="A52" i="78"/>
  <c r="A50" i="78"/>
  <c r="A66" i="78"/>
  <c r="A49" i="78"/>
  <c r="A54" i="78"/>
  <c r="A64" i="78"/>
  <c r="A48" i="78"/>
  <c r="A63" i="78"/>
  <c r="A47" i="78"/>
  <c r="A62" i="78"/>
  <c r="A46" i="78"/>
  <c r="A61" i="78"/>
  <c r="A53" i="78"/>
  <c r="A59" i="78"/>
  <c r="A44" i="78"/>
  <c r="A58" i="78"/>
  <c r="A57" i="78"/>
  <c r="A43" i="78"/>
  <c r="A56" i="78"/>
  <c r="A55" i="78"/>
  <c r="A60" i="78"/>
  <c r="A45" i="78"/>
  <c r="N70" i="78"/>
  <c r="AJ70" i="78"/>
  <c r="P70" i="78"/>
  <c r="X70" i="78"/>
  <c r="L70" i="78"/>
  <c r="AB70" i="78"/>
  <c r="AD72" i="78" a="1"/>
  <c r="AD72" i="78" s="1"/>
  <c r="AD77" i="78" s="1"/>
  <c r="O70" i="78"/>
  <c r="M70" i="78"/>
  <c r="AC70" i="78"/>
  <c r="Y70" i="78"/>
  <c r="Z70" i="78"/>
  <c r="W70" i="78"/>
  <c r="K70" i="78"/>
  <c r="AA70" i="78"/>
  <c r="AJ76" i="78"/>
  <c r="AG76" i="78"/>
  <c r="AI76" i="78"/>
  <c r="AL69" i="78"/>
  <c r="AH76" i="78"/>
  <c r="AF70" i="78"/>
  <c r="AC76" i="78"/>
  <c r="V70" i="78"/>
  <c r="AD70" i="78"/>
  <c r="S70" i="78"/>
  <c r="T70" i="78"/>
  <c r="AG70" i="78"/>
  <c r="AE70" i="78"/>
  <c r="AH70" i="78"/>
  <c r="AD76" i="78"/>
  <c r="Q70" i="78"/>
  <c r="R70" i="78"/>
  <c r="AL68" i="78"/>
  <c r="I70" i="78"/>
  <c r="U70" i="78"/>
  <c r="AI70" i="78"/>
  <c r="AE76" i="78"/>
  <c r="Q13" i="78"/>
  <c r="R13" i="78" s="1"/>
  <c r="S13" i="78" s="1"/>
  <c r="T13" i="78" s="1"/>
  <c r="U12" i="78"/>
  <c r="J70" i="78"/>
  <c r="AF76" i="78"/>
  <c r="AK68" i="78" a="1"/>
  <c r="AK68" i="78" s="1"/>
  <c r="AF71" i="78" a="1"/>
  <c r="AF71" i="78" s="1"/>
  <c r="AE72" i="78" a="1"/>
  <c r="AE72" i="78" s="1"/>
  <c r="AE77" i="78" s="1"/>
  <c r="AH72" i="78" a="1"/>
  <c r="AH72" i="78" s="1"/>
  <c r="AH77" i="78" s="1"/>
  <c r="AF72" i="78" a="1"/>
  <c r="AF72" i="78" s="1"/>
  <c r="AF77" i="78" s="1"/>
  <c r="AH71" i="78" a="1"/>
  <c r="AH71" i="78" s="1"/>
  <c r="AI71" i="78" a="1"/>
  <c r="AI71" i="78" s="1"/>
  <c r="AG72" i="78" a="1"/>
  <c r="AG72" i="78" s="1"/>
  <c r="AG77" i="78" s="1"/>
  <c r="AJ71" i="78" a="1"/>
  <c r="AJ71" i="78" s="1"/>
  <c r="AI72" i="78" a="1"/>
  <c r="AI72" i="78" s="1"/>
  <c r="AI77" i="78" s="1"/>
  <c r="AG71" i="78" a="1"/>
  <c r="AG71" i="78" s="1"/>
  <c r="AC71" i="78" a="1"/>
  <c r="AC71" i="78" s="1"/>
  <c r="AJ72" i="78" a="1"/>
  <c r="AJ72" i="78" s="1"/>
  <c r="AJ77" i="78" s="1"/>
  <c r="M13" i="78"/>
  <c r="N13" i="78" s="1"/>
  <c r="O13" i="78" s="1"/>
  <c r="P13" i="78" s="1"/>
  <c r="AK69" i="78" a="1"/>
  <c r="AK69" i="78" s="1"/>
  <c r="AD71" i="78" a="1"/>
  <c r="AD71" i="78" s="1"/>
  <c r="AC72" i="78" a="1"/>
  <c r="AC72" i="78" s="1"/>
  <c r="AC77" i="78" s="1"/>
  <c r="AE71" i="78" a="1"/>
  <c r="AE71" i="78" s="1"/>
  <c r="AH78" i="78" l="1"/>
  <c r="AD78" i="78"/>
  <c r="AG78" i="78"/>
  <c r="AE73" i="78"/>
  <c r="AE78" i="78"/>
  <c r="AC73" i="78"/>
  <c r="AI73" i="78"/>
  <c r="AC78" i="78"/>
  <c r="AL70" i="78"/>
  <c r="AH73" i="78"/>
  <c r="U13" i="78"/>
  <c r="V13" i="78" s="1"/>
  <c r="W13" i="78" s="1"/>
  <c r="X13" i="78" s="1"/>
  <c r="Y12" i="78"/>
  <c r="AJ73" i="78"/>
  <c r="AJ78" i="78"/>
  <c r="AD73" i="78"/>
  <c r="AF73" i="78"/>
  <c r="AG73" i="78"/>
  <c r="AF78" i="78"/>
  <c r="AK70" i="78"/>
  <c r="AI78" i="78"/>
  <c r="Y13" i="78" l="1"/>
  <c r="Z13" i="78" s="1"/>
  <c r="AA13" i="78" s="1"/>
  <c r="AB13" i="78" s="1"/>
  <c r="AC12" i="78"/>
  <c r="AC13" i="78" l="1"/>
  <c r="AD13" i="78" s="1"/>
  <c r="AE13" i="78" s="1"/>
  <c r="AF13" i="78" s="1"/>
  <c r="AG12" i="78"/>
  <c r="AG13" i="78" s="1"/>
  <c r="AH13" i="78" s="1"/>
  <c r="AI13" i="78" s="1"/>
  <c r="AJ13" i="78" s="1"/>
  <c r="AB3" i="33" l="1" a="1"/>
  <c r="AB3" i="33" s="1"/>
  <c r="X3" i="33" a="1"/>
  <c r="X3" i="33" s="1"/>
  <c r="S3" i="33" a="1"/>
  <c r="S3" i="33" l="1"/>
  <c r="R3" i="33" l="1" a="1"/>
  <c r="T3" i="33" a="1"/>
  <c r="T3" i="33" s="1"/>
  <c r="AC3" i="33" a="1"/>
  <c r="AC3" i="33" s="1"/>
  <c r="R3" i="33" l="1"/>
  <c r="C10" i="63"/>
  <c r="C9" i="63"/>
  <c r="C8" i="63"/>
  <c r="C7" i="63"/>
  <c r="C6" i="63"/>
  <c r="C5" i="63"/>
  <c r="C4" i="63"/>
  <c r="C3" i="63"/>
  <c r="P3" i="33" l="1" a="1"/>
  <c r="P3" i="33" l="1"/>
  <c r="Z3" i="33" a="1"/>
  <c r="Z3" i="33" s="1"/>
  <c r="AA3" i="33" a="1"/>
  <c r="AA3" i="3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<sst xmlns="http://schemas.openxmlformats.org/spreadsheetml/2006/main" count="915" uniqueCount="313">
  <si>
    <t>Status</t>
  </si>
  <si>
    <t>In Progress</t>
  </si>
  <si>
    <t>Last Updated</t>
  </si>
  <si>
    <t>Schedule Milestones&gt;&gt;</t>
  </si>
  <si>
    <t>Resource Allocation</t>
  </si>
  <si>
    <t>Category</t>
  </si>
  <si>
    <t>Leader</t>
  </si>
  <si>
    <t>Top Level Team</t>
  </si>
  <si>
    <t>Function / Contact</t>
  </si>
  <si>
    <t>Location</t>
  </si>
  <si>
    <t>Allocation File</t>
  </si>
  <si>
    <t>HC Type</t>
  </si>
  <si>
    <t>Sum HC</t>
  </si>
  <si>
    <t>Peak HC</t>
  </si>
  <si>
    <t>HC Profile
(mini)</t>
  </si>
  <si>
    <t>Matthias</t>
  </si>
  <si>
    <t>SPG_SW_ProgramManagers</t>
  </si>
  <si>
    <t>Canada</t>
  </si>
  <si>
    <t>Incremental - XCHG</t>
  </si>
  <si>
    <t>Security</t>
  </si>
  <si>
    <t>Hugo</t>
  </si>
  <si>
    <t>SPG_Security</t>
  </si>
  <si>
    <t>USA</t>
  </si>
  <si>
    <t>Existing - AOP</t>
  </si>
  <si>
    <t>Virtualization</t>
  </si>
  <si>
    <t>Chris</t>
  </si>
  <si>
    <t>SPG_Platform Virtualization</t>
  </si>
  <si>
    <t>SPG_FWProgMgmt</t>
  </si>
  <si>
    <t>SPG_Platform_Linux</t>
  </si>
  <si>
    <t>China Shanghai</t>
  </si>
  <si>
    <t>Terms of Reference</t>
  </si>
  <si>
    <t>HC Profile</t>
  </si>
  <si>
    <t>Existing resources already hired, AOP funded on a permanent basis</t>
  </si>
  <si>
    <t>e.g. HC_REG, HC_TEM, HC_COO, HC_CON, Commit - Co-Op</t>
  </si>
  <si>
    <t>Grand Total</t>
  </si>
  <si>
    <t>Incremental resources request for HC, XCHG funded (typical) on a temporary basis</t>
  </si>
  <si>
    <t>e.g. Gaps, Non-HC - SPW, Outside Services (OSS)</t>
  </si>
  <si>
    <t>Scenarios</t>
  </si>
  <si>
    <t>NC         - No change</t>
  </si>
  <si>
    <r>
      <rPr>
        <b/>
        <sz val="11"/>
        <color rgb="FFFF0000"/>
        <rFont val="Calibri"/>
        <family val="2"/>
        <scheme val="minor"/>
      </rPr>
      <t xml:space="preserve">Instructions: </t>
    </r>
    <r>
      <rPr>
        <b/>
        <sz val="11"/>
        <color theme="1"/>
        <rFont val="Calibri"/>
        <family val="2"/>
        <scheme val="minor"/>
      </rPr>
      <t xml:space="preserve">
Please enter your function's name and capture assumptions applicable to your sizing</t>
    </r>
  </si>
  <si>
    <t>Team Name / Function</t>
  </si>
  <si>
    <t>Scope / Deliverables</t>
  </si>
  <si>
    <t>Assumptions</t>
  </si>
  <si>
    <t>Risks</t>
  </si>
  <si>
    <t>Team</t>
  </si>
  <si>
    <t>Contact</t>
  </si>
  <si>
    <t>Scope / Function / Impact / Involvement</t>
  </si>
  <si>
    <t>Comments</t>
  </si>
  <si>
    <t>BROWSER VIEWING HAS BEEN DISABLED.  PLEASE OPEN IN EXCEL DESKTOP APP TO USE THIS FILE.
Click on the "Editing" button and select "Open in Desktop App"</t>
  </si>
  <si>
    <t>Instructions</t>
  </si>
  <si>
    <t>Step</t>
  </si>
  <si>
    <t>Description</t>
  </si>
  <si>
    <t>Illustrations / Pictorials</t>
  </si>
  <si>
    <t>In column D, look for your top-level teams in column D</t>
  </si>
  <si>
    <t>In column E, type in your specific function or team name in column E, as needed (or leave blank)</t>
  </si>
  <si>
    <t>In column G, select the HC type (Existing, FTE, Contractor) via drop down list.
Do not mix existing and new HC together, use separate rows
Add new rows as needed</t>
  </si>
  <si>
    <t>In columns H through AA, fill in the HC estimate by quarter</t>
  </si>
  <si>
    <t>Enter in scope deliverables, assumptions, risks in the Assumptions tab for your respective team(s)</t>
  </si>
  <si>
    <t>Look up Table for teams/leaders/category</t>
  </si>
  <si>
    <t>Lists for drop down menus</t>
  </si>
  <si>
    <t>CVP / Allocation Files drop down menus</t>
  </si>
  <si>
    <t>CVP / Top Level Teams drop down menus</t>
  </si>
  <si>
    <t>Top Level</t>
  </si>
  <si>
    <t>Options</t>
  </si>
  <si>
    <t>Labour Rate</t>
  </si>
  <si>
    <t>Note</t>
  </si>
  <si>
    <t>CVP</t>
  </si>
  <si>
    <t>Rodney</t>
  </si>
  <si>
    <t>Stephen</t>
  </si>
  <si>
    <t>Syed</t>
  </si>
  <si>
    <t>Terry</t>
  </si>
  <si>
    <t>Jeffrey</t>
  </si>
  <si>
    <t>RodneyTeam</t>
  </si>
  <si>
    <t>ChrisTeam</t>
  </si>
  <si>
    <t>HugoTeam</t>
  </si>
  <si>
    <t>MatthiasTeam</t>
  </si>
  <si>
    <t>StephenTeam</t>
  </si>
  <si>
    <t>SyedTeam</t>
  </si>
  <si>
    <t>TerryTeam</t>
  </si>
  <si>
    <t>JeffreyTeam</t>
  </si>
  <si>
    <t>3D_Perf_Arch</t>
  </si>
  <si>
    <t>3DGFX</t>
  </si>
  <si>
    <t>choice 1</t>
  </si>
  <si>
    <t xml:space="preserve"> </t>
  </si>
  <si>
    <t>alloc_CG 3D Drivers And Compilers</t>
  </si>
  <si>
    <t>D3D</t>
  </si>
  <si>
    <t>choice 2</t>
  </si>
  <si>
    <t>Bulgaria</t>
  </si>
  <si>
    <t>Complete</t>
  </si>
  <si>
    <t>Sizing is CLOSED.  This sheet is LOCKED and PROTECTED from editing.  NO CHANGES are permitted while locked.  Please contact Sam Huynh if you need to make any modifications.</t>
  </si>
  <si>
    <t>HYD Graphics CQE</t>
  </si>
  <si>
    <t>choice 3</t>
  </si>
  <si>
    <t>Greece</t>
  </si>
  <si>
    <t>Sizing is OPEN.  Please UPDATE your estimates for your teams in this sheet.  Also UPDATE the scope, assumptions and risks in the Assumptions tab.</t>
  </si>
  <si>
    <t>Khronos3D</t>
  </si>
  <si>
    <t>choice 4</t>
  </si>
  <si>
    <t>Brazil</t>
  </si>
  <si>
    <t>MS Project</t>
  </si>
  <si>
    <t>Sizing is EXTRACTED from MS Project Server and COPIED here.  NO CHANGES are permitted on this sheet.  Please update the resource allocation files and publish them, data will be updated daily.</t>
  </si>
  <si>
    <t>PAL</t>
  </si>
  <si>
    <t>choice 5</t>
  </si>
  <si>
    <t>Mexico</t>
  </si>
  <si>
    <t>Shader Compilers</t>
  </si>
  <si>
    <t>Shaders</t>
  </si>
  <si>
    <t>choice 6</t>
  </si>
  <si>
    <t>Argentina</t>
  </si>
  <si>
    <t>Shader Compilers – LLVM &amp; SC</t>
  </si>
  <si>
    <t>choice 7</t>
  </si>
  <si>
    <t>SPG_3D_Perf_Arch</t>
  </si>
  <si>
    <t>choice 8</t>
  </si>
  <si>
    <t>India Hyderabad</t>
  </si>
  <si>
    <t>SPG_3D_Tooling</t>
  </si>
  <si>
    <t>choice 9</t>
  </si>
  <si>
    <t>Australia</t>
  </si>
  <si>
    <t>SPG_D3D</t>
  </si>
  <si>
    <t>choice 10</t>
  </si>
  <si>
    <t>Japan</t>
  </si>
  <si>
    <t>SPG_HYD Graphics CQE</t>
  </si>
  <si>
    <t>Taiwan</t>
  </si>
  <si>
    <t>SPG_Khronos3D</t>
  </si>
  <si>
    <t>Serbia</t>
  </si>
  <si>
    <t>SPG_Mac 3D</t>
  </si>
  <si>
    <t>France</t>
  </si>
  <si>
    <t>SPG_PAL</t>
  </si>
  <si>
    <t>Germany</t>
  </si>
  <si>
    <t>SPG_Shader Compilers</t>
  </si>
  <si>
    <t>Italy</t>
  </si>
  <si>
    <t>SPG_ShaderCompiler</t>
  </si>
  <si>
    <t>Sweden</t>
  </si>
  <si>
    <t>ADV Technology</t>
  </si>
  <si>
    <t>ATG</t>
  </si>
  <si>
    <t>UK</t>
  </si>
  <si>
    <t>IPU Driver - Existing</t>
  </si>
  <si>
    <t>Spain</t>
  </si>
  <si>
    <t>IPU Validation</t>
  </si>
  <si>
    <t>Poland</t>
  </si>
  <si>
    <t>Power/ Perf</t>
  </si>
  <si>
    <t>Netherlands</t>
  </si>
  <si>
    <t>SPG_ADV Technology</t>
  </si>
  <si>
    <t>India Bangalore</t>
  </si>
  <si>
    <t>FWProgMgmt</t>
  </si>
  <si>
    <t>PFO</t>
  </si>
  <si>
    <t>GFX-CP</t>
  </si>
  <si>
    <t>China Beijing and Shenzhen</t>
  </si>
  <si>
    <t>GFX-RLC</t>
  </si>
  <si>
    <t>Global</t>
  </si>
  <si>
    <t>PMFW</t>
  </si>
  <si>
    <t>SMU</t>
  </si>
  <si>
    <t>SPG_Architecture and Sys IP</t>
  </si>
  <si>
    <t>SPG_GFX-CP</t>
  </si>
  <si>
    <t>SPG_GFX-RLC</t>
  </si>
  <si>
    <t>SPG_IPU Driver - Existing</t>
  </si>
  <si>
    <t>SPG_IPU Validation</t>
  </si>
  <si>
    <t>SPG_PMFW</t>
  </si>
  <si>
    <t>SPG_SMU</t>
  </si>
  <si>
    <t>SPG_SPIO</t>
  </si>
  <si>
    <t>SPG_VBIOS</t>
  </si>
  <si>
    <t>SPG_VBIOS CP</t>
  </si>
  <si>
    <t>SPG_VBIOS RLC</t>
  </si>
  <si>
    <t>SPG_VBIOS VBL</t>
  </si>
  <si>
    <t>SPIO</t>
  </si>
  <si>
    <t>VBIOS</t>
  </si>
  <si>
    <t>SPG_Platform SW Arch</t>
  </si>
  <si>
    <t>Platform_Linux</t>
  </si>
  <si>
    <t>PlatLinux</t>
  </si>
  <si>
    <t>Platform Security</t>
  </si>
  <si>
    <t>SPG_Platform Security</t>
  </si>
  <si>
    <t>KMD Solutions</t>
  </si>
  <si>
    <t>PlatWin</t>
  </si>
  <si>
    <t>KMD Test &amp; Tools</t>
  </si>
  <si>
    <t>PLAT Win: IQE/CQE</t>
  </si>
  <si>
    <t xml:space="preserve">PLAT Win: KMD Core </t>
  </si>
  <si>
    <t>PLAT Win: KMD Core MKM</t>
  </si>
  <si>
    <t>PLAT Win: KMD Core SRDC</t>
  </si>
  <si>
    <t xml:space="preserve">PLAT Win: KMD Solutions </t>
  </si>
  <si>
    <t>PLAT Win: KMD Solutions HYD</t>
  </si>
  <si>
    <t>PLAT Win: KMD Solutions MKM</t>
  </si>
  <si>
    <t>PLAT Win: MS Interface</t>
  </si>
  <si>
    <t>PLAT Win: PM/ SW TL / Arch</t>
  </si>
  <si>
    <t>PLAT Win: System &amp; Power</t>
  </si>
  <si>
    <t>Platform Windows</t>
  </si>
  <si>
    <t>SPG_Platform Windows</t>
  </si>
  <si>
    <t>Platform Virtualization</t>
  </si>
  <si>
    <t>CSE_FirstPartner_CustEng</t>
  </si>
  <si>
    <t>CSE</t>
  </si>
  <si>
    <t>SPG_Customer Eng</t>
  </si>
  <si>
    <t>SPG_CSE_FirstPartner_CustEng</t>
  </si>
  <si>
    <t>SPG_CSE_FirstPartner_Customer Engineering</t>
  </si>
  <si>
    <t>SPG_CSE_FirstPartner_FAST</t>
  </si>
  <si>
    <t>SPG_Customer_Eng</t>
  </si>
  <si>
    <t>SPG_Mac Platform</t>
  </si>
  <si>
    <t>SPG_Operations</t>
  </si>
  <si>
    <t>SW Ops</t>
  </si>
  <si>
    <t>SW PM</t>
  </si>
  <si>
    <t>SW_ProgramManagers</t>
  </si>
  <si>
    <t>SPG_SSE Infrastructure</t>
  </si>
  <si>
    <t>SSE Infra</t>
  </si>
  <si>
    <t>SPG_SSE QA</t>
  </si>
  <si>
    <t>SQA</t>
  </si>
  <si>
    <t>SPG_SSE RM</t>
  </si>
  <si>
    <t>SSE RM</t>
  </si>
  <si>
    <t>SSE Infrastructure</t>
  </si>
  <si>
    <t>SSE QA</t>
  </si>
  <si>
    <t>Display NPI</t>
  </si>
  <si>
    <t>Disp&amp;MM</t>
  </si>
  <si>
    <t>Display NTI</t>
  </si>
  <si>
    <t>MM Audio</t>
  </si>
  <si>
    <t>MM Video</t>
  </si>
  <si>
    <t>SPG_Display NPI</t>
  </si>
  <si>
    <t>SPG_Display NTI</t>
  </si>
  <si>
    <t>SPG_Display NTI - VPE</t>
  </si>
  <si>
    <t>SPG_MM Audio</t>
  </si>
  <si>
    <t>SPG_MM Video</t>
  </si>
  <si>
    <t>SPG_MM Video - UMSCH</t>
  </si>
  <si>
    <t>SPG_MM Video NPI</t>
  </si>
  <si>
    <t>SPG_MM Video NTI</t>
  </si>
  <si>
    <t>SPG_VPE &amp; DisplayNTI</t>
  </si>
  <si>
    <t>SPG_Roadmap Installer User Experience</t>
  </si>
  <si>
    <t>UX</t>
  </si>
  <si>
    <t>SPG_3D_ArchNPIPM</t>
  </si>
  <si>
    <t>SPG_3D_CQE</t>
  </si>
  <si>
    <t>Cost Factor</t>
  </si>
  <si>
    <t>M1</t>
  </si>
  <si>
    <t>M2</t>
  </si>
  <si>
    <t>M3</t>
  </si>
  <si>
    <t>Ramp Curve</t>
  </si>
  <si>
    <t>OMIT    - remove</t>
  </si>
  <si>
    <t>Cost ($M)</t>
  </si>
  <si>
    <t>Linux – Program Management/Architectural support</t>
  </si>
  <si>
    <t>Linux- BPI</t>
  </si>
  <si>
    <t>MM</t>
  </si>
  <si>
    <t>Graphics API</t>
  </si>
  <si>
    <t>Graphics Virtualization - Guest Linux</t>
  </si>
  <si>
    <t>Display Virtualization</t>
  </si>
  <si>
    <t>Power Management Virtualization - Guest</t>
  </si>
  <si>
    <t>Scope of work</t>
  </si>
  <si>
    <t>alloc_MLS_Linux_4</t>
  </si>
  <si>
    <t>alloc_MLS_Linux_3</t>
  </si>
  <si>
    <t>Capitola v1.0</t>
  </si>
  <si>
    <t xml:space="preserve">Notes: BU - BU - AECG
• </t>
  </si>
  <si>
    <t>ROCm on APU</t>
  </si>
  <si>
    <t>PreSI emulation</t>
  </si>
  <si>
    <t>Pre-SI Emulation</t>
  </si>
  <si>
    <t>NPI support</t>
  </si>
  <si>
    <t>- Pre-SI Linux Bringup
- Linux Bringup (Silicon) with Base kernel</t>
  </si>
  <si>
    <t>- ROCm Bringup on APU
- ROCm Feats validation
- KFD validation</t>
  </si>
  <si>
    <t>- Build and Packaging
- Separate Capitola branch creation.
- Build script modifications if any.</t>
  </si>
  <si>
    <t>- H264 and HEVC(Encode, Decode and Transcode) issue debug support.
- NVE support</t>
  </si>
  <si>
    <t>- Mesa, OpenGL 4.6, OpenGL ES 3.2, Vulkan-1.4 (Baremetal issue debug)</t>
  </si>
  <si>
    <t>Kernel Support</t>
  </si>
  <si>
    <t>Kernel consultation support</t>
  </si>
  <si>
    <t>Bringup &amp; Pre-Si Emulation
(NPI)</t>
  </si>
  <si>
    <r>
      <rPr>
        <b/>
        <sz val="11"/>
        <color rgb="FF000000"/>
        <rFont val="Calibri"/>
        <family val="2"/>
      </rPr>
      <t>Linux Bringup  &amp; Pre-Si Emulation:</t>
    </r>
    <r>
      <rPr>
        <sz val="11"/>
        <color rgb="FF000000"/>
        <rFont val="Calibri"/>
        <family val="2"/>
      </rPr>
      <t xml:space="preserve"> 
- Pre-SI Emulation
- Pre-SI Linux Bringup
- Linux Bringup (Silicon) with Base kernel
</t>
    </r>
  </si>
  <si>
    <r>
      <rPr>
        <b/>
        <sz val="11"/>
        <color rgb="FF000000"/>
        <rFont val="Calibri"/>
        <family val="2"/>
      </rPr>
      <t xml:space="preserve">Clarifications : </t>
    </r>
    <r>
      <rPr>
        <sz val="11"/>
        <color rgb="FF000000"/>
        <rFont val="Calibri"/>
        <family val="2"/>
      </rPr>
      <t xml:space="preserve">
- What is the Board used for Capitola ? 
- Where is the bringup happens and any travel is needed ?</t>
    </r>
  </si>
  <si>
    <t>Post Bringup(NTI)</t>
  </si>
  <si>
    <t>- Does VulkanSC needs the GPU driver to be safety complaint ? 
- Any new work w.r.t VulkanSC needs rescoping.
- No ASIL-B or ASIL-D efforts are estimated till we get the clear picture of usage on the UMD/D4KMD or ROCm side.</t>
  </si>
  <si>
    <t>VirtIO Native Context in DOMU
Mesa for virtio-gpu (Vulkan 1.4)
Linux kernel virtio-gpu
Issue debug and triage in guest DOMU</t>
  </si>
  <si>
    <t>VirtIO GPU emulation - Xen/QEMU/Virglrenderer DOM0 (Graphics)</t>
  </si>
  <si>
    <t>Virtio-gpu in QEMU emulator in DOM0
Blob memory support in QEMU
VirtIO GPU command forwarding
DRM Renderer API for amdgpu in Virglrenderer in DOM0
AMDGPU DRM API support for guest Mesa
Virtio-pci for PVH DOM0 in Xen hypervisor
Blob memory support for Xen, dynamic address mapping
Virtio support for PVH DOMU and hyper launch in Xen hypervisor
CPU fine grain support in Xen hypervisor</t>
  </si>
  <si>
    <t>Compositor for virtualization use case
MPO virtualization
GPU recovery (robust context in weston)
Multiple display for 4 external displays in one single Ubuntu DOMU
Wayland on Linux for virtualization
Issue debug and triage for display virtualization</t>
  </si>
  <si>
    <t>Compute Virtualization - Guest ROCm (virtio-gpu)</t>
  </si>
  <si>
    <t>ROCR-Runtime, ROCR-CLR development for virtio-gpu
Pointer info refactor in ROCR for virtio driver agents
Global memory APIs support for virtio driver agents
Events APIs refactor for virtio driver agents
Enable events wait API in ROCR virtio-gpu
CLR adaptation for ROCR VIRTIO backend
Host and guest Kernel developments for virtio-gpu
Userptr feature in virtio-gpu
mapped memory support back end virtio
Upper level component virtualization support
ROCm debugger for virtio-gpu
ROCm tracer for virtio-gpu
ROCm profiler for virtio-gpu
HIP (runtime) for virtio-gpu</t>
  </si>
  <si>
    <t>Compute Virtualization - Guest OpenCL (DOMU)</t>
  </si>
  <si>
    <t>ROCR Virtio Driver Adaptation for OpenCL2.0 (amdocl)
Memory region and pool discovery for OpenCL
Queue management adaptation
Extend KfdVirtioDriver for OpenCL-specific allocation patterns (scratch, GWS, large buffers)
Queue doorbell dispatch latency evaluation and optimization
OpenCL Event and Signal Path
HSA signal/event latency optimization under polling mode
Events wait API integration with OpenCL callbacks and profiling
OpenCL Feature Adaptation in DOMU
Device capability correct reporting through virtio topology(bus-addressable, IPC, DMA-buf, etc.)
DMA-buf / GL interop adaptation via virtio-gpu blob resources
Image object support validation (tiling, format queries, read/write/copy paths)
C11 atomics, device partitioning, device-side enqueue
OCL 2.0 CTS tests debug</t>
  </si>
  <si>
    <t>Compute Virtualization - Guest HIP &amp; Mathlib &amp; Tools (DOMU)</t>
  </si>
  <si>
    <t>Enable and validate ROCm user space HIP, math libraries, and tools on DOMU
HIP Runtime, CLR
Math libraries
ROCblas/hipblas, rocFFT/hipFFT, rocRand, rocprim, rocSPARSE/hipSPARSE, MIOpen, rocSOLVER, hipSOLVER, hipBLASLlt, hipSPARSELt, hipRAND
Tools
ROCm Profiler, ROCm GDB, AMDSMI, ROCminfo</t>
  </si>
  <si>
    <t>Compute Virtualization - Host KFD multiple context</t>
  </si>
  <si>
    <t>Linux Kernel KFD multiple contexts:
Implement secondary kfd_process-es in kfd module
Lifetime management of secondary kfd_process
Refactoring sysfs entry for secondary kfd_process
Identify secondary kfd_process by id and supportive functions.
Support fence and evict for secondary kfd_process
Support kfd_mmap for secondary kfd_process
Support set_debug_trap ioctl for multiple contexts
HIQ and DIQ improvements for multiple contexts
Stretch goal (Linux KFD kernel):
Upstreaming all the changes
SVM support for secondary kfd_process
UserPTR support for secondary kfd_process
Libhsakmt (thunk) multiple context developments
Primary context validation  
Secondary context support
KFDtests for secondary context</t>
  </si>
  <si>
    <t>VirtIO GPU emulation - Xen/QEMU/Virglrenderer DOM0 (Compute)</t>
  </si>
  <si>
    <t>Virglrenderer virtualized thunk developments for virtio-gpu
Virglrenderer thunk API forwarding for virtio-gpu
Multi KFD context feature modifications in virglrenderer
QEMU, hypervisor development for virtio-gpu
QEMU API forwarding features for HIP APIs
Hypervisor, QEMU memory managements features for HIP APIs</t>
  </si>
  <si>
    <t>DRM render node for ROCm virtualization</t>
  </si>
  <si>
    <t>DRM SVM for AMDGPU development which is required by latest unified KFD/KGD stack
Initialization - Initialize drm_gpusvm during VM init
IOCTL Interface - Add IOCTL to create SVM range and map system pages to VM
Page Fault Handling - Retry page fault recovery by creating or finding SVM range and mapping pages
Memory Invalidation - Implement amdgpu_svm_invalidate via MMU notifier to unmap SVM range and add to garbage collector
Page Migration &amp; Prefetch - Implement page migration with SVM range BO, drm_pagemap ops, amdgpu_migrate.c callbacks, prefetch IOCTL, and migration policy in fault handler based on preferred location
Memory Eviction - Implement TTM eviction of SVM range BO to system memory under VRAM pressure using fence and evict worker
Legacy Replacement - Optionally replace amdgpu_gem_userptr_ioctl with SVM IOCTL</t>
  </si>
  <si>
    <t>Cross functional team support/ Integrated Delivery Support</t>
  </si>
  <si>
    <t>Providing debugging and feature support for other G&amp;E software teams, including ATG, security, and display.</t>
  </si>
  <si>
    <t>GPU recovery virtualization</t>
  </si>
  <si>
    <t>GPU recovery for virtio-gpu</t>
  </si>
  <si>
    <t>Linux DOMU S3/reboot support for suspend and resume</t>
  </si>
  <si>
    <t>Linux - Solution Architect team</t>
  </si>
  <si>
    <t>Provide Linux virtualization solution architecture, technical alignment, and cross-component integration support.</t>
  </si>
  <si>
    <t>Core Linux(Ray)</t>
  </si>
  <si>
    <t>Linux IQE</t>
  </si>
  <si>
    <t xml:space="preserve"> - Validation support during bringup(silicon)
- Feature Validation for ROCm/GFX/Xen/ML frameworks/tools/MM/Power/Display
- Weekly integration Validation to maintain stable baseline
-  Full cycle test for each release</t>
  </si>
  <si>
    <t>AMD SMI</t>
  </si>
  <si>
    <t>AMD SMI support for Baremetal</t>
  </si>
  <si>
    <t>alloc_MLS_Linux_1</t>
  </si>
  <si>
    <r>
      <rPr>
        <b/>
        <sz val="11"/>
        <color rgb="FF000000"/>
        <rFont val="Calibri"/>
        <family val="2"/>
      </rPr>
      <t xml:space="preserve">ROCm Support: 
</t>
    </r>
    <r>
      <rPr>
        <sz val="11"/>
        <color rgb="FF000000"/>
        <rFont val="Calibri"/>
        <family val="2"/>
      </rPr>
      <t>- Validate the ROCm FEATs like KFD test, rocr test, roc profiler, roc gdb, rocminfo, clinfo, rocmruntime, OCL, etc</t>
    </r>
    <r>
      <rPr>
        <b/>
        <sz val="11"/>
        <color rgb="FF000000"/>
        <rFont val="Calibri"/>
        <family val="2"/>
      </rPr>
      <t xml:space="preserve">
MM:</t>
    </r>
    <r>
      <rPr>
        <sz val="11"/>
        <color rgb="FF000000"/>
        <rFont val="Calibri"/>
        <family val="2"/>
      </rPr>
      <t xml:space="preserve"> 
- Debug support is limited to H.264 and HEVC use cases, including Encode, Decode, and Transcode only.
- VCN5 does not support YUV422 Subsampling format. So we don’t support this.
- No new feature development is included as part of this scope.
- GStreamer-based development or support is explicitly out of scope.
- QT framework is out of scope.
</t>
    </r>
    <r>
      <rPr>
        <b/>
        <sz val="11"/>
        <color rgb="FF000000"/>
        <rFont val="Calibri"/>
        <family val="2"/>
      </rPr>
      <t>Graphics :</t>
    </r>
    <r>
      <rPr>
        <sz val="11"/>
        <color rgb="FF000000"/>
        <rFont val="Calibri"/>
        <family val="2"/>
      </rPr>
      <t xml:space="preserve"> 
- OpenGL SC is deprecated and is explicitly out of scope.
- There is no clarity from the program side on the VulkanSC requirement. No sizing has been done until we get the clarity.
</t>
    </r>
    <r>
      <rPr>
        <b/>
        <sz val="11"/>
        <color rgb="FF000000"/>
        <rFont val="Calibri"/>
        <family val="2"/>
      </rPr>
      <t xml:space="preserve">Kernel : 
</t>
    </r>
    <r>
      <rPr>
        <sz val="11"/>
        <color rgb="FF000000"/>
        <rFont val="Calibri"/>
        <family val="2"/>
      </rPr>
      <t>- Kernel related consultation.</t>
    </r>
    <r>
      <rPr>
        <b/>
        <sz val="11"/>
        <color rgb="FF000000"/>
        <rFont val="Calibri"/>
        <family val="2"/>
      </rPr>
      <t xml:space="preserve">
Linux IQE
</t>
    </r>
    <r>
      <rPr>
        <sz val="11"/>
        <color rgb="FF000000"/>
        <rFont val="Calibri"/>
        <family val="2"/>
      </rPr>
      <t>-Validation scope for ROCm stack is limited to KFD test/rocr test/rocprofiler/rocgdb/OCL
- ML framework scope limited to Pytorch, Ollama.cpp, llama.cpp, vllm, NO performance validation 
-FuSa related features are out of this sizing scope
-RAS validation is out of scope</t>
    </r>
  </si>
  <si>
    <r>
      <rPr>
        <b/>
        <sz val="11"/>
        <color rgb="FF000000"/>
        <rFont val="Calibri"/>
        <family val="2"/>
      </rPr>
      <t xml:space="preserve">ROCm Support: 
</t>
    </r>
    <r>
      <rPr>
        <sz val="11"/>
        <color rgb="FF000000"/>
        <rFont val="Calibri"/>
        <family val="2"/>
      </rPr>
      <t xml:space="preserve">- ROCm bringup on APU
- ROCm Feats validation
- KFD validation
</t>
    </r>
    <r>
      <rPr>
        <b/>
        <sz val="11"/>
        <color rgb="FF000000"/>
        <rFont val="Calibri"/>
        <family val="2"/>
      </rPr>
      <t xml:space="preserve">
MM:</t>
    </r>
    <r>
      <rPr>
        <sz val="11"/>
        <color rgb="FF000000"/>
        <rFont val="Calibri"/>
        <family val="2"/>
      </rPr>
      <t xml:space="preserve">
- H264 and HEVC(Encode, Decode and Transcode) issue debug support.
- NVE support
</t>
    </r>
    <r>
      <rPr>
        <b/>
        <sz val="11"/>
        <color rgb="FF000000"/>
        <rFont val="Calibri"/>
        <family val="2"/>
      </rPr>
      <t>BPI :</t>
    </r>
    <r>
      <rPr>
        <sz val="11"/>
        <color rgb="FF000000"/>
        <rFont val="Calibri"/>
        <family val="2"/>
      </rPr>
      <t xml:space="preserve"> 
1. Build and Packaging
2. Separate Capitola branch creation.
3. Build script modifications if any.
</t>
    </r>
    <r>
      <rPr>
        <b/>
        <sz val="11"/>
        <color rgb="FF000000"/>
        <rFont val="Calibri"/>
        <family val="2"/>
      </rPr>
      <t>Graphics API :</t>
    </r>
    <r>
      <rPr>
        <sz val="11"/>
        <color rgb="FF000000"/>
        <rFont val="Calibri"/>
        <family val="2"/>
      </rPr>
      <t xml:space="preserve">
- Mesa, OpenGL 4.6, OpenGL ES 3.2, Vulkan-1.4 (Baremetal issue debug)
</t>
    </r>
    <r>
      <rPr>
        <b/>
        <sz val="11"/>
        <color rgb="FF000000"/>
        <rFont val="Calibri"/>
        <family val="2"/>
      </rPr>
      <t xml:space="preserve">Kernel support: 
</t>
    </r>
    <r>
      <rPr>
        <sz val="11"/>
        <color rgb="FF000000"/>
        <rFont val="Calibri"/>
        <family val="2"/>
      </rPr>
      <t>- Kernel Consultation support</t>
    </r>
    <r>
      <rPr>
        <b/>
        <sz val="11"/>
        <color rgb="FF000000"/>
        <rFont val="Calibri"/>
        <family val="2"/>
      </rPr>
      <t xml:space="preserve">
Linux IQE
</t>
    </r>
    <r>
      <rPr>
        <sz val="11"/>
        <color rgb="FF000000"/>
        <rFont val="Calibri"/>
        <family val="2"/>
      </rPr>
      <t>- Feature validation for ROCm/GFX/Display/MM/tools/Xen/ML Frameworks with Linux OS
- Weekly integration test
- Full cycle release test</t>
    </r>
  </si>
  <si>
    <t>Architecture / Planning</t>
  </si>
  <si>
    <t>Solution architect on-board (0.5 HC), PM/arch support starting (0.2 HC). Pre-program alignment.</t>
  </si>
  <si>
    <t>Pre-SI Ramp</t>
  </si>
  <si>
    <t>Program management, solution arch at steady 0.5. Pre-SI emulation kicks in Q4 FY27.</t>
  </si>
  <si>
    <t>Silicon Bringup (NPI)</t>
  </si>
  <si>
    <t>Major ramp. NPI support, Pre-SI emulation, all development teams start. HC jumps from 5.5 → 18 → 25 in Q128→Q228→Q328.</t>
  </si>
  <si>
    <t>Peak Development</t>
  </si>
  <si>
    <r>
      <t xml:space="preserve">All virtualization, ROCm, graphics, IQE at full strength. Peak HC = </t>
    </r>
    <r>
      <rPr>
        <b/>
        <sz val="11"/>
        <color theme="1"/>
        <rFont val="Calibri"/>
        <family val="2"/>
        <scheme val="minor"/>
      </rPr>
      <t>31.6</t>
    </r>
    <r>
      <rPr>
        <sz val="11"/>
        <color theme="1"/>
        <rFont val="Calibri"/>
        <family val="2"/>
        <scheme val="minor"/>
      </rPr>
      <t xml:space="preserve"> in Q1 FY29</t>
    </r>
  </si>
  <si>
    <t>Integration / Validation</t>
  </si>
  <si>
    <t>HC winds down from 30 → 22 → 15. Feature complete, validation cycles.</t>
  </si>
  <si>
    <t>Sustaining / Long Tail</t>
  </si>
  <si>
    <t>13.3 HC in Q4 FY29, tapering to ~0 by end of FY30. Maintenance and customer use-case support.</t>
  </si>
  <si>
    <t>Talk to Uday to drop the HC</t>
  </si>
  <si>
    <t>VirtIO GPU emulation - Xen/QEMU/Virglrenderer DOM0  (Graphics - Windows)</t>
  </si>
  <si>
    <t>Develop the blob memory and virtio-gpu based functions for windows domU
Integrate the dynamic mapping function for windows domU</t>
  </si>
  <si>
    <t>Display Virtualization (Windows)</t>
  </si>
  <si>
    <t>Compositor for virtualization use case
Multiple display for 4 external displays in one single Windows DOMU
EDID emulation for Windows DOMU
Display hot-plug for Windows DOMU
DPMST for Windows DOMU
Enable display KMS function for windows DOMU</t>
  </si>
  <si>
    <t>Graphics Virtualization - Guest Windows KMD</t>
  </si>
  <si>
    <t>Windows VirtIO GPU kernel
Develop the new WDDM driver for VirtIO GPU
Add viogpu3d driver under viogpu module</t>
  </si>
  <si>
    <t>Graphics Virtualization - Guest Windows UMD (Virgl)</t>
  </si>
  <si>
    <t>Develop GDI interfaces (virtio-gpu) for gallium winsys to talk with windows gdi32.ddl
Integrate virgl gallium driver with windows gdi (virtio-gpu) winsys APIs
Enable frontend and target for d3dumd for the backend as virgl
Enable frontend and target for wgl for the backend as virgl</t>
  </si>
  <si>
    <t>Graphics Virtualization - Guest Android (Issue Debugging Support)</t>
  </si>
  <si>
    <t>Android VM DOMU Support (GFX issue debugging)
Linux kernel (caladon_kernel) for virtio-gpu in Android VM
Libdrm for virtio-gpu in Android VM
Support other Android GLES
graphics components (e.g., SurfaceFlinger/Skia)
Support other Android Vulkan graphics components (e.g., SurfaceFlinger/Skia), for example, some components may migrate from OpenGL ES to Vulkan
Android Angle support
OpenGL ES CTS based on Angle.
Support other GELS graphics
components (e.g., SurfaceFlinger/Skia)
based on Angle
Display virtualization (like vMPO) for Android VM
Gfxbench and regular 3D applications based on Vulkan and OpenGLES(Mesa RadeonSI &amp; ANGLE) in Android VM</t>
  </si>
  <si>
    <t>Graphics Virtualization - Guest Linux
GPU recovery virtualization
VirtIO GPU emulation - Xen/QEMU/Virglrenderer DOM0 (Graphics)
VirtIO GPU emulation - Xen/QEMU/Virglrenderer DOM0 (Graphics - Windows)
Graphics Virtualization - Guest Windows UMD (Virgl)
Display Virtualization
Display Virtualization (Windows)
Graphics Virtualization - Guest Windows KMD
Compute Virtualization - Guest ROCm (virtio-gpu)
Compute Virtualization - Guest OpenCL (DOMU)
Compute Virtualization - Host KFD multiple context
Compute Virtualization - Guest HIP &amp; Mathlib &amp; Tools (DOMU)
VirtIO GPU emulation - Xen/QEMU/Virglrenderer DOM0 (Compute)
Cross functional team support/ Integrated Delivery Support
DRM render node for ROCm virtualization
Power Management Virtualization - Guest
Graphics Virtualization - Guest Android (Issue Debugging Support)
Linux - Solution Architect team</t>
  </si>
  <si>
    <t>Linux:
• Weston IVI is out of the scope.
• Multidisplay is not scoped.
• Dom0 and DomU should be in a display like Fairview Project. (One DOM0 + One DOMU in one single display). If requires more use cases, it need require CR.
• Virtual primary plane is not scoped.
• Functional safety (ASIL-B) for graphics driver and ROCm is not scoped.
• P2P is not in scope. APU doesn’t support the P2P feature, so some IPC features cannot be enabled either.
Windows:
• Graphics Virtualization(UMD) → This phase provides a DirectX-10–based, GPU-accelerated Windows 10 desktop only. DX12, Windows 11, Vulkan, and Windows VM multimedia are explicitly out of scope. 
• No power management on Windows DOMU
• Windows will not support vMPO/vPP, GPU timeout recovery.</t>
  </si>
  <si>
    <t>Validation support during bringup(silicon)
- Feature Validation for ROCm/GFX/Xen/ML frameworks/tools/MM/Power/Display
- Weekly integration Validation to maintain stable baseline
-  Full cycle test for each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</si>
</sst>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43" formatCode="_(* #,##0.00_);_(* \(#,##0.00\);_(* &quot;-&quot;??_);_(@_)"/>
    <numFmt numFmtId="164" formatCode="_(* #,##0.0_);_(* \(#,##0.0\);_(* &quot;-&quot;??_);_(@_)"/>
    <numFmt numFmtId="165" formatCode="_(* #,##0_);_(* \(#,##0\);_(* &quot;-&quot;??_);_(@_)"/>
    <numFmt numFmtId="166" formatCode="[$-409]d\-mmm\-yy;@"/>
    <numFmt numFmtId="167" formatCode="_(0.##,,;_(* \(0.##,,\);_(* &quot;-&quot;_);_(@_)"/>
    <numFmt numFmtId="168" formatCode="0.000000000_);\(0.000000000\)"/>
    <numFmt numFmtId="169" formatCode="###,000"/>
    <numFmt numFmtId="170" formatCode="_(* 0.0_);_(* \(0.0\);_(* &quot;&quot;??_);_(@_)"/>
    <numFmt numFmtId="171" formatCode="_(0.00,,;_(* \(0.0,,\);_(* &quot;&quot;_);_(@_)"/>
    <numFmt numFmtId="172" formatCode="_(&quot;$&quot;* #,##0_);_(&quot;$&quot;* \(#,##0\);_(&quot;&quot;??_);_(@_)"/>
    <numFmt numFmtId="173" formatCode="_(&quot;$&quot;* 0.00,,\ &quot;M&quot;_);_(&quot;$&quot;* \(#,##0\);_(&quot;&quot;??_);_(@_)"/>
  </numFmts>
  <fonts count="54" x14ac:knownFonts="1">
    <font>
      <sz val="11"/>
      <color theme="1"/>
      <name val="Calibri"/>
      <family val="2"/>
      <scheme val="minor"/>
    </font>
    <font>
      <sz val="11"/>
      <color theme="1"/>
      <name val="Arial"/>
      <family val="2"/>
    </font>
    <font>
      <b/>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
      <b/>
      <sz val="11"/>
      <color rgb="FFFF0000"/>
      <name val="Calibri"/>
      <family val="2"/>
      <scheme val="minor"/>
    </font>
    <font>
      <b/>
      <sz val="11"/>
      <color rgb="FF000000"/>
      <name val="Calibri"/>
      <family val="2"/>
    </font>
    <font>
      <b/>
      <sz val="11"/>
      <name val="Calibri"/>
      <family val="2"/>
    </font>
    <font>
      <sz val="11"/>
      <color rgb="FF000000"/>
      <name val="Calibri"/>
      <family val="2"/>
    </font>
    <font>
      <sz val="11"/>
      <name val="Calibri"/>
      <family val="2"/>
    </font>
    <font>
      <b/>
      <sz val="11"/>
      <color theme="0"/>
      <name val="Calibri"/>
      <family val="2"/>
      <scheme val="minor"/>
    </font>
    <font>
      <sz val="11"/>
      <color theme="0"/>
      <name val="Calibri"/>
      <family val="2"/>
      <scheme val="minor"/>
    </font>
    <font>
      <sz val="11"/>
      <color theme="1"/>
      <name val="Calibri"/>
      <family val="2"/>
      <scheme val="minor"/>
    </font>
    <font>
      <b/>
      <sz val="10"/>
      <name val="Calibri"/>
      <family val="2"/>
      <scheme val="minor"/>
    </font>
    <font>
      <b/>
      <sz val="11"/>
      <color theme="0"/>
      <name val="Calibri"/>
      <family val="2"/>
    </font>
    <font>
      <b/>
      <u/>
      <sz val="11"/>
      <color theme="1"/>
      <name val="Calibri"/>
      <family val="2"/>
      <scheme val="minor"/>
    </font>
    <font>
      <b/>
      <sz val="16"/>
      <color theme="0"/>
      <name val="Calibri"/>
      <family val="2"/>
      <scheme val="minor"/>
    </font>
    <font>
      <b/>
      <sz val="12"/>
      <color theme="0"/>
      <name val="Calibri"/>
      <family val="2"/>
      <scheme val="minor"/>
    </font>
    <font>
      <b/>
      <sz val="12"/>
      <color rgb="FFFFFF00"/>
      <name val="Calibri"/>
      <family val="2"/>
      <scheme val="minor"/>
    </font>
    <font>
      <sz val="12"/>
      <name val="Calibri"/>
      <family val="2"/>
      <scheme val="minor"/>
    </font>
    <font>
      <b/>
      <sz val="16"/>
      <color rgb="FFFF0000"/>
      <name val="Calibri"/>
      <family val="2"/>
      <scheme val="minor"/>
    </font>
    <font>
      <sz val="11"/>
      <color theme="1"/>
      <name val="Calibri"/>
      <family val="2"/>
    </font>
    <font>
      <strike/>
      <sz val="11"/>
      <color rgb="FF000000"/>
      <name val="Calibri"/>
      <family val="2"/>
    </font>
    <font>
      <strike/>
      <sz val="11"/>
      <color theme="1"/>
      <name val="Calibri"/>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sz val="8"/>
      <color theme="1"/>
      <name val="Verdana"/>
      <family val="2"/>
    </font>
    <font>
      <sz val="8"/>
      <color theme="1"/>
      <name val="Arial"/>
      <family val="2"/>
    </font>
    <font>
      <sz val="8"/>
      <color theme="1"/>
      <name val="Verdana"/>
      <family val="2"/>
    </font>
    <font>
      <b/>
      <i/>
      <sz val="8"/>
      <color theme="1"/>
      <name val="Verdana"/>
      <family val="2"/>
    </font>
    <font>
      <sz val="8"/>
      <color rgb="FFEAEAEA"/>
      <name val="Verdana"/>
      <family val="2"/>
    </font>
    <font>
      <sz val="10"/>
      <name val="Arial"/>
      <family val="2"/>
    </font>
    <font>
      <b/>
      <sz val="8"/>
      <color rgb="FF1F497D"/>
      <name val="Verdana"/>
      <family val="2"/>
    </font>
    <font>
      <sz val="8"/>
      <color rgb="FF1F497D"/>
      <name val="Verdana"/>
      <family val="2"/>
    </font>
    <font>
      <sz val="8"/>
      <color indexed="13"/>
      <name val="Arial"/>
      <family val="2"/>
    </font>
    <font>
      <b/>
      <sz val="12"/>
      <name val="Calibri"/>
      <family val="2"/>
      <scheme val="minor"/>
    </font>
    <font>
      <b/>
      <sz val="10"/>
      <color rgb="FFFF0000"/>
      <name val="Calibri"/>
      <family val="2"/>
      <scheme val="minor"/>
    </font>
    <font>
      <sz val="8"/>
      <name val="Calibri"/>
      <family val="2"/>
      <scheme val="minor"/>
    </font>
    <font>
      <b/>
      <sz val="11"/>
      <color rgb="FF000000"/>
      <name val="Calibri"/>
      <family val="2"/>
      <scheme val="minor"/>
    </font>
    <font>
      <sz val="11"/>
      <color rgb="FF000000"/>
      <name val="Calibri"/>
      <family val="2"/>
      <scheme val="minor"/>
    </font>
    <font>
      <strike/>
      <sz val="11"/>
      <color rgb="FF000000"/>
      <name val="Calibri"/>
      <family val="2"/>
      <scheme val="minor"/>
    </font>
    <font>
      <sz val="11"/>
      <color rgb="FF0000FF"/>
      <name val="Calibri"/>
      <family val="2"/>
      <scheme val="minor"/>
    </font>
    <font>
      <b/>
      <u/>
      <sz val="11"/>
      <color theme="0"/>
      <name val="Calibri"/>
      <family val="2"/>
      <scheme val="minor"/>
    </font>
    <font>
      <i/>
      <sz val="11"/>
      <color theme="0"/>
      <name val="Calibri"/>
      <family val="2"/>
      <scheme val="minor"/>
    </font>
    <font>
      <sz val="10"/>
      <name val="Calibri"/>
      <family val="2"/>
      <scheme val="minor"/>
    </font>
    <font>
      <sz val="11"/>
      <name val="Calibri"/>
      <family val="2"/>
    </font>
    <font>
      <b/>
      <sz val="16"/>
      <name val="Calibri"/>
      <family val="2"/>
      <scheme val="minor"/>
    </font>
  </fonts>
  <fills count="36">
    <fill>
      <patternFill patternType="none"/>
    </fill>
    <fill>
      <patternFill patternType="gray125"/>
    </fill>
    <fill>
      <patternFill patternType="solid">
        <fgColor rgb="FFD6DCE4"/>
        <bgColor indexed="64"/>
      </patternFill>
    </fill>
    <fill>
      <patternFill patternType="solid">
        <fgColor theme="0"/>
        <bgColor indexed="64"/>
      </patternFill>
    </fill>
    <fill>
      <patternFill patternType="solid">
        <fgColor theme="3"/>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theme="9" tint="-0.499984740745262"/>
        <bgColor indexed="64"/>
      </patternFill>
    </fill>
    <fill>
      <patternFill patternType="solid">
        <fgColor theme="1"/>
        <bgColor indexed="64"/>
      </patternFill>
    </fill>
    <fill>
      <patternFill patternType="solid">
        <fgColor rgb="FF7030A0"/>
        <bgColor indexed="64"/>
      </patternFill>
    </fill>
    <fill>
      <patternFill patternType="solid">
        <fgColor rgb="FFFFFFFF"/>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EAEAEA"/>
        <bgColor rgb="FF000000"/>
      </patternFill>
    </fill>
    <fill>
      <patternFill patternType="solid">
        <fgColor rgb="FFF8F8F8"/>
        <bgColor rgb="FF000000"/>
      </patternFill>
    </fill>
    <fill>
      <patternFill patternType="solid">
        <fgColor rgb="FFFFFFFF"/>
        <bgColor rgb="FFFFFFFF"/>
      </patternFill>
    </fill>
    <fill>
      <patternFill patternType="solid">
        <fgColor rgb="FFEAEAEA"/>
        <bgColor rgb="FFFFFFFF"/>
      </patternFill>
    </fill>
    <fill>
      <patternFill patternType="solid">
        <fgColor rgb="FFDBE5F1"/>
        <bgColor rgb="FF000000"/>
      </patternFill>
    </fill>
    <fill>
      <patternFill patternType="solid">
        <fgColor rgb="FFDBE5F1"/>
        <bgColor rgb="FFFFFFFF"/>
      </patternFill>
    </fill>
    <fill>
      <patternFill patternType="solid">
        <fgColor indexed="8"/>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2"/>
        <bgColor indexed="64"/>
      </patternFill>
    </fill>
    <fill>
      <patternFill patternType="solid">
        <fgColor rgb="FFFFFF00"/>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bottom style="medium">
        <color indexed="64"/>
      </bottom>
      <diagonal/>
    </border>
    <border>
      <left/>
      <right/>
      <top style="thin">
        <color auto="1"/>
      </top>
      <bottom style="thin">
        <color auto="1"/>
      </bottom>
      <diagonal/>
    </border>
    <border>
      <left/>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indexed="64"/>
      </left>
      <right/>
      <top style="thin">
        <color indexed="64"/>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medium">
        <color rgb="FFFF0000"/>
      </left>
      <right style="medium">
        <color rgb="FFFF0000"/>
      </right>
      <top style="medium">
        <color rgb="FFFF0000"/>
      </top>
      <bottom style="medium">
        <color rgb="FFFF000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s>
  <cellStyleXfs count="66">
    <xf numFmtId="0" fontId="0" fillId="0" borderId="0"/>
    <xf numFmtId="0" fontId="3" fillId="0" borderId="0" applyNumberForma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0" fontId="33" fillId="11" borderId="22" applyNumberFormat="0" applyAlignment="0" applyProtection="0">
      <alignment horizontal="left" vertical="center" indent="1"/>
    </xf>
    <xf numFmtId="169" fontId="35" fillId="0" borderId="26" applyNumberFormat="0" applyProtection="0">
      <alignment horizontal="right" vertical="center"/>
    </xf>
    <xf numFmtId="169" fontId="33" fillId="0" borderId="26" applyNumberFormat="0" applyProtection="0">
      <alignment horizontal="right" vertical="center"/>
    </xf>
    <xf numFmtId="169" fontId="35" fillId="23" borderId="22" applyNumberFormat="0" applyAlignment="0" applyProtection="0">
      <alignment horizontal="left" vertical="center" indent="1"/>
    </xf>
    <xf numFmtId="0" fontId="25" fillId="11" borderId="23" applyNumberFormat="0" applyAlignment="0">
      <alignment horizontal="left" vertical="center" indent="1"/>
      <protection locked="0"/>
    </xf>
    <xf numFmtId="0" fontId="25" fillId="21" borderId="23" applyNumberFormat="0" applyAlignment="0" applyProtection="0">
      <alignment horizontal="left" vertical="center" indent="1"/>
    </xf>
    <xf numFmtId="0" fontId="25" fillId="22" borderId="23" applyNumberFormat="0" applyAlignment="0">
      <alignment horizontal="left" vertical="center" indent="1"/>
      <protection locked="0"/>
    </xf>
    <xf numFmtId="0" fontId="25" fillId="11" borderId="23" applyNumberFormat="0" applyAlignment="0">
      <alignment horizontal="left" vertical="center" indent="1"/>
      <protection locked="0"/>
    </xf>
    <xf numFmtId="169" fontId="33" fillId="21" borderId="26" applyNumberFormat="0" applyProtection="0">
      <alignment horizontal="right" vertical="center"/>
    </xf>
    <xf numFmtId="169" fontId="33" fillId="22" borderId="26" applyNumberFormat="0">
      <alignment horizontal="right" vertical="center"/>
      <protection locked="0"/>
    </xf>
    <xf numFmtId="169" fontId="26" fillId="14" borderId="24" applyNumberFormat="0" applyBorder="0" applyAlignment="0" applyProtection="0">
      <alignment horizontal="right" vertical="center" indent="1"/>
    </xf>
    <xf numFmtId="169" fontId="27" fillId="13" borderId="24" applyNumberFormat="0" applyBorder="0" applyAlignment="0" applyProtection="0">
      <alignment horizontal="right" vertical="center" indent="1"/>
    </xf>
    <xf numFmtId="169" fontId="27" fillId="12" borderId="24" applyNumberFormat="0" applyBorder="0" applyAlignment="0" applyProtection="0">
      <alignment horizontal="right" vertical="center" indent="1"/>
    </xf>
    <xf numFmtId="169" fontId="28" fillId="15" borderId="24" applyNumberFormat="0" applyBorder="0" applyAlignment="0" applyProtection="0">
      <alignment horizontal="right" vertical="center" indent="1"/>
    </xf>
    <xf numFmtId="169" fontId="28" fillId="16" borderId="24" applyNumberFormat="0" applyBorder="0" applyAlignment="0" applyProtection="0">
      <alignment horizontal="right" vertical="center" indent="1"/>
    </xf>
    <xf numFmtId="169" fontId="28" fillId="17" borderId="24" applyNumberFormat="0" applyBorder="0" applyAlignment="0" applyProtection="0">
      <alignment horizontal="right" vertical="center" indent="1"/>
    </xf>
    <xf numFmtId="169" fontId="29" fillId="18" borderId="24" applyNumberFormat="0" applyBorder="0" applyAlignment="0" applyProtection="0">
      <alignment horizontal="right" vertical="center" indent="1"/>
    </xf>
    <xf numFmtId="169" fontId="29" fillId="19" borderId="24" applyNumberFormat="0" applyBorder="0" applyAlignment="0" applyProtection="0">
      <alignment horizontal="right" vertical="center" indent="1"/>
    </xf>
    <xf numFmtId="169" fontId="29" fillId="20" borderId="24" applyNumberFormat="0" applyBorder="0" applyAlignment="0" applyProtection="0">
      <alignment horizontal="right" vertical="center" indent="1"/>
    </xf>
    <xf numFmtId="0" fontId="34" fillId="0" borderId="2" applyNumberFormat="0" applyFont="0" applyFill="0" applyAlignment="0" applyProtection="0"/>
    <xf numFmtId="169" fontId="37" fillId="24" borderId="0" applyNumberFormat="0" applyAlignment="0" applyProtection="0">
      <alignment horizontal="left" vertical="center" indent="1"/>
    </xf>
    <xf numFmtId="0" fontId="30" fillId="0" borderId="25" applyNumberFormat="0" applyFont="0" applyFill="0" applyAlignment="0" applyProtection="0"/>
    <xf numFmtId="169" fontId="35" fillId="0" borderId="26" applyNumberFormat="0" applyFill="0" applyBorder="0" applyAlignment="0" applyProtection="0">
      <alignment horizontal="right" vertical="center"/>
    </xf>
    <xf numFmtId="169" fontId="35" fillId="23" borderId="22" applyNumberFormat="0" applyAlignment="0" applyProtection="0">
      <alignment horizontal="left" vertical="center" indent="1"/>
    </xf>
    <xf numFmtId="0" fontId="33" fillId="11" borderId="23" applyNumberFormat="0" applyAlignment="0" applyProtection="0">
      <alignment horizontal="left" vertical="center" indent="1"/>
    </xf>
    <xf numFmtId="0" fontId="31" fillId="0" borderId="2" applyNumberFormat="0" applyFill="0" applyBorder="0" applyAlignment="0" applyProtection="0"/>
    <xf numFmtId="0" fontId="32" fillId="0" borderId="2" applyNumberFormat="0" applyBorder="0" applyAlignment="0" applyProtection="0"/>
    <xf numFmtId="0" fontId="31" fillId="11" borderId="23" applyNumberFormat="0" applyAlignment="0">
      <alignment horizontal="left" vertical="center" indent="1"/>
      <protection locked="0"/>
    </xf>
    <xf numFmtId="0" fontId="31" fillId="11" borderId="23" applyNumberFormat="0" applyAlignment="0">
      <alignment horizontal="left" vertical="center" indent="1"/>
      <protection locked="0"/>
    </xf>
    <xf numFmtId="0" fontId="31" fillId="21" borderId="23" applyNumberFormat="0" applyAlignment="0" applyProtection="0">
      <alignment horizontal="left" vertical="center" indent="1"/>
    </xf>
    <xf numFmtId="169" fontId="36" fillId="21" borderId="26" applyNumberFormat="0" applyProtection="0">
      <alignment horizontal="right" vertical="center"/>
    </xf>
    <xf numFmtId="0" fontId="31" fillId="22" borderId="23" applyNumberFormat="0" applyAlignment="0">
      <alignment horizontal="left" vertical="center" indent="1"/>
      <protection locked="0"/>
    </xf>
    <xf numFmtId="169" fontId="36" fillId="22" borderId="26" applyNumberFormat="0">
      <alignment horizontal="right" vertical="center"/>
      <protection locked="0"/>
    </xf>
    <xf numFmtId="169" fontId="35" fillId="0" borderId="26" applyNumberFormat="0" applyFill="0" applyBorder="0" applyAlignment="0" applyProtection="0">
      <alignment horizontal="right" vertical="center"/>
    </xf>
    <xf numFmtId="0" fontId="25" fillId="11" borderId="23" applyNumberFormat="0" applyAlignment="0" applyProtection="0">
      <alignment horizontal="left" vertical="center" indent="1"/>
    </xf>
    <xf numFmtId="0" fontId="25" fillId="21" borderId="23" applyNumberFormat="0" applyAlignment="0" applyProtection="0">
      <alignment horizontal="left" vertical="center" indent="1"/>
    </xf>
    <xf numFmtId="43" fontId="1" fillId="0" borderId="0" applyFont="0" applyFill="0" applyBorder="0" applyAlignment="0" applyProtection="0"/>
    <xf numFmtId="0" fontId="38" fillId="0" borderId="0"/>
    <xf numFmtId="0" fontId="13" fillId="0" borderId="0"/>
    <xf numFmtId="0" fontId="13" fillId="0" borderId="0"/>
    <xf numFmtId="0" fontId="1" fillId="0" borderId="0"/>
    <xf numFmtId="0" fontId="13" fillId="0" borderId="0"/>
    <xf numFmtId="44" fontId="13" fillId="0" borderId="0" applyFont="0" applyFill="0" applyBorder="0" applyAlignment="0" applyProtection="0"/>
    <xf numFmtId="44" fontId="38" fillId="0" borderId="0" applyFont="0" applyFill="0" applyBorder="0" applyAlignment="0" applyProtection="0"/>
    <xf numFmtId="0" fontId="39" fillId="25" borderId="22" applyNumberFormat="0" applyAlignment="0" applyProtection="0">
      <alignment horizontal="left" vertical="center" indent="1"/>
    </xf>
    <xf numFmtId="169" fontId="40" fillId="26" borderId="22" applyNumberFormat="0" applyAlignment="0" applyProtection="0">
      <alignment horizontal="left" vertical="center" indent="1"/>
    </xf>
    <xf numFmtId="169" fontId="40" fillId="0" borderId="27" applyNumberFormat="0" applyProtection="0">
      <alignment horizontal="right" vertical="center"/>
    </xf>
    <xf numFmtId="0" fontId="39" fillId="25" borderId="23" applyNumberFormat="0" applyAlignment="0" applyProtection="0">
      <alignment horizontal="left" vertical="center" indent="1"/>
    </xf>
    <xf numFmtId="169" fontId="39" fillId="0" borderId="23" applyNumberFormat="0" applyProtection="0">
      <alignment horizontal="right" vertical="center"/>
    </xf>
    <xf numFmtId="0" fontId="38" fillId="0" borderId="0"/>
    <xf numFmtId="44" fontId="13"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38" fillId="0" borderId="0"/>
    <xf numFmtId="43" fontId="38" fillId="0" borderId="0" applyFont="0" applyFill="0" applyBorder="0" applyAlignment="0" applyProtection="0"/>
    <xf numFmtId="43" fontId="38" fillId="0" borderId="0" applyFont="0" applyFill="0" applyBorder="0" applyAlignment="0" applyProtection="0"/>
    <xf numFmtId="0" fontId="13" fillId="0" borderId="0"/>
    <xf numFmtId="0" fontId="41" fillId="27" borderId="1" applyNumberFormat="0" applyProtection="0">
      <alignment horizontal="left" vertical="center"/>
    </xf>
    <xf numFmtId="0" fontId="13" fillId="0" borderId="0"/>
    <xf numFmtId="0" fontId="41" fillId="27" borderId="1" applyNumberFormat="0" applyProtection="0">
      <alignment horizontal="left" vertical="center"/>
    </xf>
    <xf numFmtId="0" fontId="13" fillId="0" borderId="0"/>
  </cellStyleXfs>
  <cellXfs count="240">
    <xf numFmtId="0" fontId="0" fillId="0" borderId="0" xfId="0"/>
    <xf numFmtId="0" fontId="0" fillId="0" borderId="0" xfId="0" applyAlignment="1">
      <alignment horizontal="center" vertical="center"/>
    </xf>
    <xf numFmtId="0" fontId="0" fillId="0" borderId="0" xfId="0" applyAlignment="1">
      <alignment wrapText="1"/>
    </xf>
    <xf numFmtId="0" fontId="2" fillId="0" borderId="1" xfId="0" applyFont="1" applyBorder="1"/>
    <xf numFmtId="0" fontId="0" fillId="0" borderId="0" xfId="0" applyAlignment="1">
      <alignment horizontal="center"/>
    </xf>
    <xf numFmtId="0" fontId="0" fillId="0" borderId="1" xfId="0" applyBorder="1" applyAlignment="1">
      <alignment vertical="center"/>
    </xf>
    <xf numFmtId="0" fontId="2" fillId="0" borderId="0" xfId="0" applyFont="1" applyAlignment="1">
      <alignment horizontal="left"/>
    </xf>
    <xf numFmtId="0" fontId="5" fillId="0" borderId="0" xfId="0" applyFont="1" applyAlignment="1">
      <alignment horizontal="left" vertical="center"/>
    </xf>
    <xf numFmtId="0" fontId="2" fillId="0" borderId="1" xfId="0" applyFont="1" applyBorder="1" applyAlignment="1">
      <alignment horizontal="center"/>
    </xf>
    <xf numFmtId="0" fontId="0" fillId="0" borderId="1" xfId="0" applyBorder="1" applyAlignment="1">
      <alignment horizontal="center" vertical="center"/>
    </xf>
    <xf numFmtId="0" fontId="2" fillId="0" borderId="1" xfId="0" applyFont="1"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top" wrapText="1"/>
    </xf>
    <xf numFmtId="0" fontId="0" fillId="0" borderId="1" xfId="0" applyBorder="1" applyAlignment="1">
      <alignment horizontal="left" vertical="top" wrapText="1"/>
    </xf>
    <xf numFmtId="0" fontId="10" fillId="0" borderId="1" xfId="0" applyFont="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3" fillId="0" borderId="0" xfId="1" applyFill="1" applyBorder="1" applyAlignment="1" applyProtection="1">
      <alignment vertical="center" wrapText="1"/>
    </xf>
    <xf numFmtId="165" fontId="0" fillId="0" borderId="0" xfId="2" applyNumberFormat="1" applyFont="1" applyFill="1" applyBorder="1" applyAlignment="1" applyProtection="1">
      <alignment vertical="center"/>
    </xf>
    <xf numFmtId="0" fontId="5" fillId="0" borderId="1" xfId="0" applyFont="1" applyBorder="1" applyAlignment="1">
      <alignment horizontal="left" vertical="top" wrapText="1"/>
    </xf>
    <xf numFmtId="0" fontId="21" fillId="3" borderId="0" xfId="0" applyFont="1" applyFill="1" applyAlignment="1" applyProtection="1">
      <alignment vertical="top"/>
      <protection locked="0"/>
    </xf>
    <xf numFmtId="0" fontId="0" fillId="3" borderId="0" xfId="0" applyFill="1" applyProtection="1">
      <protection locked="0"/>
    </xf>
    <xf numFmtId="0" fontId="2" fillId="3" borderId="0" xfId="0" applyFont="1" applyFill="1" applyAlignment="1" applyProtection="1">
      <alignment horizontal="left"/>
      <protection locked="0"/>
    </xf>
    <xf numFmtId="0" fontId="0" fillId="3" borderId="0" xfId="0" applyFill="1" applyAlignment="1" applyProtection="1">
      <alignment wrapText="1"/>
      <protection locked="0"/>
    </xf>
    <xf numFmtId="0" fontId="0" fillId="3" borderId="0" xfId="0" applyFill="1" applyAlignment="1" applyProtection="1">
      <alignment horizontal="center" vertical="center"/>
      <protection locked="0"/>
    </xf>
    <xf numFmtId="0" fontId="0" fillId="3" borderId="0" xfId="0" applyFill="1" applyAlignment="1" applyProtection="1">
      <alignment vertical="center" wrapText="1"/>
      <protection locked="0"/>
    </xf>
    <xf numFmtId="0" fontId="0" fillId="3" borderId="0" xfId="0" applyFill="1" applyAlignment="1" applyProtection="1">
      <alignment vertical="center"/>
      <protection locked="0"/>
    </xf>
    <xf numFmtId="0" fontId="0" fillId="3" borderId="0" xfId="0" applyFill="1" applyAlignment="1" applyProtection="1">
      <alignment horizontal="center"/>
      <protection locked="0"/>
    </xf>
    <xf numFmtId="0" fontId="5" fillId="0" borderId="1" xfId="0" quotePrefix="1" applyFont="1" applyBorder="1" applyAlignment="1">
      <alignment horizontal="left" vertical="top" wrapText="1"/>
    </xf>
    <xf numFmtId="0" fontId="10" fillId="0" borderId="1" xfId="0" quotePrefix="1" applyFont="1" applyBorder="1" applyAlignment="1">
      <alignment horizontal="left" vertical="top" wrapText="1"/>
    </xf>
    <xf numFmtId="0" fontId="5" fillId="0" borderId="1" xfId="0" applyFont="1" applyBorder="1" applyAlignment="1">
      <alignment horizontal="left" vertical="top"/>
    </xf>
    <xf numFmtId="0" fontId="5" fillId="0" borderId="1" xfId="0" applyFont="1" applyBorder="1" applyAlignment="1" applyProtection="1">
      <alignment horizontal="left" vertical="top"/>
      <protection locked="0"/>
    </xf>
    <xf numFmtId="0" fontId="2" fillId="0" borderId="0" xfId="0" applyFont="1"/>
    <xf numFmtId="0" fontId="19" fillId="4" borderId="7" xfId="0" applyFont="1" applyFill="1" applyBorder="1"/>
    <xf numFmtId="0" fontId="20" fillId="4" borderId="7" xfId="0" applyFont="1" applyFill="1" applyBorder="1"/>
    <xf numFmtId="0" fontId="4" fillId="0" borderId="0" xfId="0" applyFont="1" applyAlignment="1">
      <alignment vertical="center"/>
    </xf>
    <xf numFmtId="0" fontId="14" fillId="3" borderId="10" xfId="0" applyFont="1" applyFill="1" applyBorder="1" applyAlignment="1">
      <alignment horizontal="center" vertical="center" wrapText="1"/>
    </xf>
    <xf numFmtId="0" fontId="15" fillId="5" borderId="1" xfId="0" applyFont="1" applyFill="1" applyBorder="1" applyAlignment="1">
      <alignment vertical="top"/>
    </xf>
    <xf numFmtId="0" fontId="15" fillId="5" borderId="1" xfId="0" applyFont="1" applyFill="1" applyBorder="1" applyAlignment="1">
      <alignment vertical="top" wrapText="1"/>
    </xf>
    <xf numFmtId="16" fontId="15" fillId="5" borderId="1" xfId="0" quotePrefix="1" applyNumberFormat="1" applyFont="1" applyFill="1" applyBorder="1" applyAlignment="1">
      <alignment horizontal="center" vertical="top"/>
    </xf>
    <xf numFmtId="0" fontId="15" fillId="5" borderId="1" xfId="0" applyFont="1" applyFill="1" applyBorder="1" applyAlignment="1">
      <alignment horizontal="center" vertical="top" wrapText="1"/>
    </xf>
    <xf numFmtId="0" fontId="15" fillId="5" borderId="4" xfId="0" applyFont="1" applyFill="1" applyBorder="1" applyAlignment="1">
      <alignment horizontal="center" vertical="top" wrapText="1"/>
    </xf>
    <xf numFmtId="0" fontId="8" fillId="0" borderId="0" xfId="0" applyFont="1" applyAlignment="1">
      <alignment horizontal="center" vertical="top" wrapText="1"/>
    </xf>
    <xf numFmtId="0" fontId="5" fillId="0" borderId="1" xfId="0" applyFont="1" applyBorder="1" applyAlignment="1">
      <alignment horizontal="left" vertical="center"/>
    </xf>
    <xf numFmtId="0" fontId="0" fillId="0" borderId="11" xfId="0" applyBorder="1"/>
    <xf numFmtId="0" fontId="0" fillId="0" borderId="1" xfId="0" applyBorder="1" applyAlignment="1">
      <alignment horizontal="center"/>
    </xf>
    <xf numFmtId="165" fontId="0" fillId="0" borderId="0" xfId="0" applyNumberFormat="1" applyAlignment="1">
      <alignment vertical="center"/>
    </xf>
    <xf numFmtId="0" fontId="5" fillId="6" borderId="5" xfId="0" applyFont="1" applyFill="1" applyBorder="1"/>
    <xf numFmtId="0" fontId="5" fillId="3" borderId="1" xfId="0" applyFont="1" applyFill="1" applyBorder="1"/>
    <xf numFmtId="0" fontId="0" fillId="3" borderId="1" xfId="0" applyFill="1" applyBorder="1"/>
    <xf numFmtId="0" fontId="5" fillId="3" borderId="1" xfId="0" applyFont="1" applyFill="1" applyBorder="1" applyAlignment="1">
      <alignment horizontal="left" vertical="center"/>
    </xf>
    <xf numFmtId="0" fontId="5" fillId="9" borderId="5" xfId="0" applyFont="1" applyFill="1" applyBorder="1"/>
    <xf numFmtId="0" fontId="0" fillId="9" borderId="11" xfId="0" applyFill="1" applyBorder="1"/>
    <xf numFmtId="0" fontId="15" fillId="7" borderId="1" xfId="0" applyFont="1" applyFill="1" applyBorder="1" applyAlignment="1">
      <alignment vertical="center" wrapText="1"/>
    </xf>
    <xf numFmtId="165" fontId="4" fillId="0" borderId="0" xfId="0" applyNumberFormat="1" applyFont="1" applyAlignment="1">
      <alignment vertical="center"/>
    </xf>
    <xf numFmtId="0" fontId="4" fillId="0" borderId="0" xfId="0" applyFont="1"/>
    <xf numFmtId="0" fontId="15" fillId="8" borderId="1" xfId="0" applyFont="1" applyFill="1" applyBorder="1" applyAlignment="1">
      <alignment vertical="center" wrapText="1"/>
    </xf>
    <xf numFmtId="0" fontId="0" fillId="0" borderId="0" xfId="0" applyAlignment="1">
      <alignment horizontal="left" vertical="center"/>
    </xf>
    <xf numFmtId="1" fontId="0" fillId="0" borderId="0" xfId="0" applyNumberFormat="1"/>
    <xf numFmtId="0" fontId="5" fillId="0" borderId="0" xfId="0" applyFont="1"/>
    <xf numFmtId="0" fontId="12" fillId="10" borderId="1" xfId="0" applyFont="1" applyFill="1" applyBorder="1"/>
    <xf numFmtId="0" fontId="0" fillId="0" borderId="1" xfId="0" applyBorder="1" applyAlignment="1">
      <alignment horizontal="left" vertical="center"/>
    </xf>
    <xf numFmtId="0" fontId="0" fillId="0" borderId="1" xfId="0" applyBorder="1"/>
    <xf numFmtId="0" fontId="5" fillId="0" borderId="0" xfId="0" applyFont="1" applyAlignment="1">
      <alignment vertical="center"/>
    </xf>
    <xf numFmtId="43" fontId="5" fillId="0" borderId="0" xfId="2" applyFont="1" applyBorder="1" applyAlignment="1">
      <alignment vertical="center"/>
    </xf>
    <xf numFmtId="0" fontId="10" fillId="0" borderId="1" xfId="0" applyFont="1" applyBorder="1" applyAlignment="1">
      <alignment horizontal="left" vertical="top"/>
    </xf>
    <xf numFmtId="0" fontId="0" fillId="0" borderId="17" xfId="0" applyBorder="1" applyAlignment="1">
      <alignment horizontal="left" vertical="top"/>
    </xf>
    <xf numFmtId="0" fontId="7" fillId="0" borderId="0" xfId="0" applyFont="1" applyAlignment="1">
      <alignment horizontal="center" vertical="center" wrapText="1"/>
    </xf>
    <xf numFmtId="0" fontId="9" fillId="0" borderId="0" xfId="0" applyFont="1" applyAlignment="1">
      <alignment vertical="center" wrapText="1"/>
    </xf>
    <xf numFmtId="0" fontId="23" fillId="0" borderId="0" xfId="0" applyFont="1" applyAlignment="1">
      <alignment vertical="center" wrapText="1"/>
    </xf>
    <xf numFmtId="0" fontId="22" fillId="0" borderId="0" xfId="0" applyFont="1" applyAlignment="1">
      <alignment vertical="center" wrapText="1"/>
    </xf>
    <xf numFmtId="0" fontId="24" fillId="0" borderId="0" xfId="0" applyFont="1" applyAlignment="1">
      <alignment vertical="center" wrapText="1"/>
    </xf>
    <xf numFmtId="0" fontId="2" fillId="0" borderId="1" xfId="0" applyFont="1" applyBorder="1" applyAlignment="1">
      <alignment horizontal="left" vertical="center"/>
    </xf>
    <xf numFmtId="0" fontId="8" fillId="0" borderId="1" xfId="0" applyFont="1" applyBorder="1" applyAlignment="1">
      <alignment horizontal="center" vertical="center"/>
    </xf>
    <xf numFmtId="1" fontId="0" fillId="0" borderId="1" xfId="3" applyNumberFormat="1" applyFont="1" applyBorder="1" applyAlignment="1">
      <alignment horizontal="center"/>
    </xf>
    <xf numFmtId="0" fontId="4" fillId="0" borderId="1" xfId="0" applyFont="1" applyBorder="1" applyAlignment="1">
      <alignment horizontal="center" vertical="center"/>
    </xf>
    <xf numFmtId="43" fontId="5" fillId="0" borderId="1" xfId="2" applyFont="1" applyBorder="1" applyAlignment="1">
      <alignment horizontal="center" vertical="center"/>
    </xf>
    <xf numFmtId="0" fontId="0" fillId="0" borderId="1" xfId="0" applyBorder="1" applyAlignment="1">
      <alignment horizontal="left" vertical="center" wrapText="1"/>
    </xf>
    <xf numFmtId="0" fontId="15" fillId="10" borderId="1" xfId="0" applyFont="1" applyFill="1" applyBorder="1" applyAlignment="1">
      <alignment vertical="center"/>
    </xf>
    <xf numFmtId="1" fontId="10" fillId="0" borderId="1" xfId="3" applyNumberFormat="1" applyFont="1" applyBorder="1" applyAlignment="1">
      <alignment horizontal="center" vertical="center"/>
    </xf>
    <xf numFmtId="0" fontId="10" fillId="3" borderId="1" xfId="0" applyFont="1" applyFill="1" applyBorder="1" applyAlignment="1">
      <alignment vertical="center"/>
    </xf>
    <xf numFmtId="167" fontId="0" fillId="0" borderId="0" xfId="0" applyNumberFormat="1"/>
    <xf numFmtId="167" fontId="0" fillId="0" borderId="0" xfId="0" applyNumberFormat="1" applyAlignment="1">
      <alignment horizontal="center"/>
    </xf>
    <xf numFmtId="168" fontId="0" fillId="0" borderId="0" xfId="0" applyNumberFormat="1" applyAlignment="1">
      <alignment horizontal="center"/>
    </xf>
    <xf numFmtId="164" fontId="0" fillId="0" borderId="0" xfId="0" applyNumberFormat="1" applyAlignment="1">
      <alignment horizontal="center"/>
    </xf>
    <xf numFmtId="43" fontId="0" fillId="0" borderId="0" xfId="0" applyNumberFormat="1" applyAlignment="1">
      <alignment horizontal="center"/>
    </xf>
    <xf numFmtId="0" fontId="0" fillId="3" borderId="0" xfId="0" applyFill="1"/>
    <xf numFmtId="0" fontId="42" fillId="4" borderId="7" xfId="0" applyFont="1" applyFill="1" applyBorder="1"/>
    <xf numFmtId="0" fontId="42" fillId="4" borderId="7" xfId="0" applyFont="1" applyFill="1" applyBorder="1" applyAlignment="1">
      <alignment horizontal="center"/>
    </xf>
    <xf numFmtId="0" fontId="42" fillId="4" borderId="17" xfId="0" applyFont="1" applyFill="1" applyBorder="1"/>
    <xf numFmtId="0" fontId="17" fillId="4" borderId="7" xfId="0" applyFont="1" applyFill="1" applyBorder="1" applyAlignment="1">
      <alignment vertical="center" wrapText="1"/>
    </xf>
    <xf numFmtId="0" fontId="7" fillId="2" borderId="8" xfId="0" applyFont="1" applyFill="1" applyBorder="1" applyAlignment="1">
      <alignment horizontal="center" vertical="top" wrapText="1"/>
    </xf>
    <xf numFmtId="9" fontId="0" fillId="0" borderId="1" xfId="0" applyNumberFormat="1" applyBorder="1" applyAlignment="1">
      <alignment horizontal="left" vertical="center"/>
    </xf>
    <xf numFmtId="0" fontId="10" fillId="0" borderId="1" xfId="0" applyFont="1" applyBorder="1" applyAlignment="1">
      <alignment vertical="center"/>
    </xf>
    <xf numFmtId="0" fontId="5" fillId="0" borderId="1" xfId="0" applyFont="1" applyBorder="1" applyAlignment="1">
      <alignment vertical="top" wrapText="1"/>
    </xf>
    <xf numFmtId="0" fontId="5" fillId="0" borderId="1" xfId="0" applyFont="1" applyBorder="1" applyAlignment="1">
      <alignment vertical="top"/>
    </xf>
    <xf numFmtId="49" fontId="9" fillId="0" borderId="3" xfId="0" applyNumberFormat="1" applyFont="1" applyBorder="1" applyAlignment="1">
      <alignment horizontal="left" vertical="top" wrapText="1"/>
    </xf>
    <xf numFmtId="0" fontId="3" fillId="0" borderId="0" xfId="1"/>
    <xf numFmtId="0" fontId="0" fillId="0" borderId="0" xfId="0" applyAlignment="1">
      <alignment vertical="top" wrapText="1"/>
    </xf>
    <xf numFmtId="0" fontId="11" fillId="4" borderId="10" xfId="0" applyFont="1" applyFill="1" applyBorder="1" applyAlignment="1">
      <alignment vertical="center" wrapText="1"/>
    </xf>
    <xf numFmtId="0" fontId="43" fillId="3" borderId="10" xfId="0" applyFont="1" applyFill="1" applyBorder="1" applyAlignment="1">
      <alignment horizontal="center" vertical="center" wrapText="1"/>
    </xf>
    <xf numFmtId="0" fontId="12" fillId="7" borderId="21" xfId="0" applyFont="1" applyFill="1" applyBorder="1" applyAlignment="1">
      <alignment vertical="top" wrapText="1"/>
    </xf>
    <xf numFmtId="0" fontId="12" fillId="7" borderId="16" xfId="0" applyFont="1" applyFill="1" applyBorder="1" applyAlignment="1">
      <alignment vertical="top" wrapText="1"/>
    </xf>
    <xf numFmtId="0" fontId="12" fillId="7" borderId="19" xfId="0" applyFont="1" applyFill="1" applyBorder="1" applyAlignment="1">
      <alignment vertical="top" wrapText="1"/>
    </xf>
    <xf numFmtId="0" fontId="12" fillId="7" borderId="0" xfId="0" applyFont="1" applyFill="1" applyAlignment="1">
      <alignment vertical="top" wrapText="1"/>
    </xf>
    <xf numFmtId="0" fontId="5" fillId="0" borderId="1" xfId="0" quotePrefix="1" applyFont="1" applyBorder="1" applyAlignment="1">
      <alignment vertical="top" wrapText="1"/>
    </xf>
    <xf numFmtId="170" fontId="5" fillId="3" borderId="1" xfId="2" applyNumberFormat="1" applyFont="1" applyFill="1" applyBorder="1"/>
    <xf numFmtId="170" fontId="8" fillId="6" borderId="1" xfId="2" applyNumberFormat="1" applyFont="1" applyFill="1" applyBorder="1" applyAlignment="1" applyProtection="1">
      <alignment horizontal="center" vertical="center"/>
    </xf>
    <xf numFmtId="170" fontId="8" fillId="6" borderId="1" xfId="2" applyNumberFormat="1" applyFont="1" applyFill="1" applyBorder="1" applyAlignment="1" applyProtection="1">
      <alignment vertical="center"/>
    </xf>
    <xf numFmtId="170" fontId="5" fillId="9" borderId="1" xfId="2" applyNumberFormat="1" applyFont="1" applyFill="1" applyBorder="1" applyAlignment="1" applyProtection="1"/>
    <xf numFmtId="170" fontId="5" fillId="9" borderId="1" xfId="2" applyNumberFormat="1" applyFont="1" applyFill="1" applyBorder="1" applyProtection="1"/>
    <xf numFmtId="170" fontId="8" fillId="9" borderId="1" xfId="2" applyNumberFormat="1" applyFont="1" applyFill="1" applyBorder="1" applyAlignment="1" applyProtection="1">
      <alignment horizontal="center" vertical="center"/>
    </xf>
    <xf numFmtId="170" fontId="8" fillId="9" borderId="1" xfId="2" applyNumberFormat="1" applyFont="1" applyFill="1" applyBorder="1" applyAlignment="1" applyProtection="1">
      <alignment vertical="center"/>
    </xf>
    <xf numFmtId="170" fontId="15" fillId="7" borderId="1" xfId="2" applyNumberFormat="1" applyFont="1" applyFill="1" applyBorder="1" applyAlignment="1">
      <alignment horizontal="center" vertical="center"/>
    </xf>
    <xf numFmtId="170" fontId="15" fillId="7" borderId="1" xfId="2" applyNumberFormat="1" applyFont="1" applyFill="1" applyBorder="1" applyAlignment="1" applyProtection="1">
      <alignment horizontal="center" vertical="center"/>
    </xf>
    <xf numFmtId="171" fontId="11" fillId="8" borderId="1" xfId="2" applyNumberFormat="1" applyFont="1" applyFill="1" applyBorder="1"/>
    <xf numFmtId="171" fontId="11" fillId="10" borderId="1" xfId="2" applyNumberFormat="1" applyFont="1" applyFill="1" applyBorder="1"/>
    <xf numFmtId="170" fontId="15" fillId="4" borderId="1" xfId="0" applyNumberFormat="1" applyFont="1" applyFill="1" applyBorder="1" applyAlignment="1">
      <alignment vertical="center"/>
    </xf>
    <xf numFmtId="170" fontId="15" fillId="4" borderId="1" xfId="2" applyNumberFormat="1" applyFont="1" applyFill="1" applyBorder="1" applyAlignment="1">
      <alignment vertical="center"/>
    </xf>
    <xf numFmtId="170" fontId="15" fillId="10" borderId="1" xfId="0" applyNumberFormat="1" applyFont="1" applyFill="1" applyBorder="1" applyAlignment="1">
      <alignment horizontal="center" vertical="center"/>
    </xf>
    <xf numFmtId="170" fontId="15" fillId="10" borderId="1" xfId="0" applyNumberFormat="1" applyFont="1" applyFill="1" applyBorder="1" applyAlignment="1">
      <alignment horizontal="left" vertical="center"/>
    </xf>
    <xf numFmtId="170" fontId="11" fillId="10" borderId="1" xfId="2" applyNumberFormat="1" applyFont="1" applyFill="1" applyBorder="1"/>
    <xf numFmtId="170" fontId="11" fillId="8" borderId="1" xfId="0" applyNumberFormat="1" applyFont="1" applyFill="1" applyBorder="1"/>
    <xf numFmtId="170" fontId="12" fillId="10" borderId="1" xfId="0" applyNumberFormat="1" applyFont="1" applyFill="1" applyBorder="1"/>
    <xf numFmtId="0" fontId="45" fillId="0" borderId="0" xfId="0" applyFont="1" applyAlignment="1">
      <alignment horizontal="center" vertical="center" wrapText="1"/>
    </xf>
    <xf numFmtId="0" fontId="46" fillId="0" borderId="0" xfId="0" applyFont="1" applyAlignment="1">
      <alignment vertical="center" wrapText="1"/>
    </xf>
    <xf numFmtId="0" fontId="46" fillId="0" borderId="0" xfId="0" applyFont="1" applyAlignment="1">
      <alignment horizontal="center" vertical="center" wrapText="1"/>
    </xf>
    <xf numFmtId="0" fontId="47" fillId="0" borderId="0" xfId="0" applyFont="1" applyAlignment="1">
      <alignment vertical="center" wrapText="1"/>
    </xf>
    <xf numFmtId="0" fontId="5" fillId="0" borderId="0" xfId="0" applyFont="1" applyAlignment="1">
      <alignment vertical="center" wrapText="1"/>
    </xf>
    <xf numFmtId="0" fontId="47" fillId="0" borderId="0" xfId="0" applyFont="1" applyAlignment="1">
      <alignment horizontal="center" vertical="center" wrapText="1"/>
    </xf>
    <xf numFmtId="0" fontId="48" fillId="0" borderId="0" xfId="0" applyFont="1" applyAlignment="1">
      <alignment horizontal="center" vertical="center" wrapText="1"/>
    </xf>
    <xf numFmtId="0" fontId="12" fillId="0" borderId="0" xfId="0" applyFont="1" applyAlignment="1">
      <alignment horizontal="center" vertical="center" wrapText="1"/>
    </xf>
    <xf numFmtId="0" fontId="12" fillId="7" borderId="0" xfId="0" applyFont="1" applyFill="1" applyAlignment="1">
      <alignment horizontal="left" vertical="top" wrapText="1"/>
    </xf>
    <xf numFmtId="0" fontId="12" fillId="7" borderId="16" xfId="0" applyFont="1" applyFill="1" applyBorder="1" applyAlignment="1">
      <alignment horizontal="left" vertical="top" wrapText="1"/>
    </xf>
    <xf numFmtId="0" fontId="11" fillId="7" borderId="16" xfId="0" applyFont="1" applyFill="1" applyBorder="1" applyAlignment="1">
      <alignment horizontal="left" vertical="top" wrapText="1"/>
    </xf>
    <xf numFmtId="0" fontId="11" fillId="7" borderId="0" xfId="0" applyFont="1" applyFill="1" applyAlignment="1">
      <alignment horizontal="left" vertical="top" wrapText="1"/>
    </xf>
    <xf numFmtId="0" fontId="51" fillId="0" borderId="0" xfId="0" quotePrefix="1" applyFont="1" applyAlignment="1">
      <alignment vertical="center" wrapText="1"/>
    </xf>
    <xf numFmtId="14" fontId="5" fillId="0" borderId="0" xfId="0" applyNumberFormat="1" applyFont="1" applyAlignment="1">
      <alignment vertical="center" wrapText="1"/>
    </xf>
    <xf numFmtId="0" fontId="22" fillId="0" borderId="17" xfId="0" applyFont="1" applyBorder="1" applyAlignment="1">
      <alignment wrapText="1"/>
    </xf>
    <xf numFmtId="0" fontId="9" fillId="0" borderId="1" xfId="0" applyFont="1" applyBorder="1" applyAlignment="1">
      <alignment vertical="center" wrapText="1"/>
    </xf>
    <xf numFmtId="0" fontId="5" fillId="0" borderId="3" xfId="0" applyFont="1" applyBorder="1" applyAlignment="1">
      <alignment horizontal="left" vertical="top" wrapText="1"/>
    </xf>
    <xf numFmtId="0" fontId="16" fillId="3" borderId="0" xfId="0" applyFont="1" applyFill="1"/>
    <xf numFmtId="165" fontId="0" fillId="3" borderId="0" xfId="2" applyNumberFormat="1" applyFont="1" applyFill="1"/>
    <xf numFmtId="0" fontId="0" fillId="3" borderId="0" xfId="0" applyFill="1" applyAlignment="1">
      <alignment horizontal="left"/>
    </xf>
    <xf numFmtId="0" fontId="5" fillId="3" borderId="0" xfId="0" applyFont="1" applyFill="1" applyAlignment="1">
      <alignment horizontal="left" vertical="center"/>
    </xf>
    <xf numFmtId="0" fontId="0" fillId="0" borderId="3" xfId="0" applyBorder="1" applyAlignment="1">
      <alignment horizontal="left" vertical="top" wrapText="1"/>
    </xf>
    <xf numFmtId="0" fontId="52" fillId="0" borderId="1" xfId="0" applyFont="1" applyBorder="1" applyAlignment="1">
      <alignment horizontal="left" vertical="top"/>
    </xf>
    <xf numFmtId="0" fontId="0" fillId="0" borderId="0" xfId="0" pivotButton="1"/>
    <xf numFmtId="173" fontId="0" fillId="0" borderId="0" xfId="0" applyNumberFormat="1"/>
    <xf numFmtId="0" fontId="9" fillId="0" borderId="1" xfId="0" applyFont="1" applyBorder="1" applyAlignment="1">
      <alignment horizontal="left" vertical="top" wrapText="1"/>
    </xf>
    <xf numFmtId="0" fontId="0" fillId="0" borderId="1" xfId="0" applyBorder="1" applyAlignment="1">
      <alignment horizontal="left" vertical="top"/>
    </xf>
    <xf numFmtId="166" fontId="18" fillId="4" borderId="7" xfId="0" applyNumberFormat="1" applyFont="1" applyFill="1" applyBorder="1" applyAlignment="1">
      <alignment horizontal="center"/>
    </xf>
    <xf numFmtId="0" fontId="53" fillId="0" borderId="1" xfId="0" applyFont="1" applyBorder="1" applyAlignment="1">
      <alignment horizontal="center" vertical="center" wrapText="1"/>
    </xf>
    <xf numFmtId="0" fontId="53" fillId="0" borderId="1" xfId="0" applyFont="1" applyBorder="1" applyAlignment="1">
      <alignment horizontal="center" vertical="center"/>
    </xf>
    <xf numFmtId="170" fontId="5" fillId="28" borderId="1" xfId="2" applyNumberFormat="1" applyFont="1" applyFill="1" applyBorder="1"/>
    <xf numFmtId="0" fontId="8" fillId="28" borderId="0" xfId="0" applyFont="1" applyFill="1" applyAlignment="1">
      <alignment horizontal="center" vertical="top" wrapText="1"/>
    </xf>
    <xf numFmtId="170" fontId="5" fillId="29" borderId="1" xfId="2" applyNumberFormat="1" applyFont="1" applyFill="1" applyBorder="1"/>
    <xf numFmtId="0" fontId="2" fillId="29" borderId="0" xfId="0" applyFont="1" applyFill="1" applyAlignment="1">
      <alignment horizontal="center" vertical="center"/>
    </xf>
    <xf numFmtId="170" fontId="5" fillId="30" borderId="1" xfId="2" applyNumberFormat="1" applyFont="1" applyFill="1" applyBorder="1"/>
    <xf numFmtId="0" fontId="2" fillId="30" borderId="0" xfId="0" applyFont="1" applyFill="1" applyAlignment="1">
      <alignment horizontal="center" vertical="center" wrapText="1"/>
    </xf>
    <xf numFmtId="170" fontId="5" fillId="31" borderId="1" xfId="2" applyNumberFormat="1" applyFont="1" applyFill="1" applyBorder="1"/>
    <xf numFmtId="0" fontId="2" fillId="31" borderId="0" xfId="0" applyFont="1" applyFill="1" applyAlignment="1">
      <alignment horizontal="center" vertical="center" wrapText="1"/>
    </xf>
    <xf numFmtId="170" fontId="5" fillId="32" borderId="1" xfId="2" applyNumberFormat="1" applyFont="1" applyFill="1" applyBorder="1"/>
    <xf numFmtId="0" fontId="2" fillId="32" borderId="0" xfId="0" applyFont="1" applyFill="1" applyAlignment="1">
      <alignment horizontal="center" vertical="center" wrapText="1"/>
    </xf>
    <xf numFmtId="170" fontId="5" fillId="33" borderId="1" xfId="2" applyNumberFormat="1" applyFont="1" applyFill="1" applyBorder="1"/>
    <xf numFmtId="0" fontId="2" fillId="33" borderId="0" xfId="0" applyFont="1" applyFill="1" applyAlignment="1">
      <alignment horizontal="center" vertical="center" wrapText="1"/>
    </xf>
    <xf numFmtId="0" fontId="5" fillId="34" borderId="1" xfId="0" applyFont="1" applyFill="1" applyBorder="1"/>
    <xf numFmtId="0" fontId="5" fillId="34" borderId="1" xfId="0" applyFont="1" applyFill="1" applyBorder="1" applyAlignment="1">
      <alignment horizontal="left" vertical="center"/>
    </xf>
    <xf numFmtId="0" fontId="10" fillId="34" borderId="1" xfId="0" applyFont="1" applyFill="1" applyBorder="1" applyAlignment="1">
      <alignment vertical="center" wrapText="1"/>
    </xf>
    <xf numFmtId="0" fontId="10" fillId="34" borderId="1" xfId="0" applyFont="1" applyFill="1" applyBorder="1" applyAlignment="1">
      <alignment vertical="center"/>
    </xf>
    <xf numFmtId="0" fontId="0" fillId="34" borderId="1" xfId="0" applyFill="1" applyBorder="1"/>
    <xf numFmtId="0" fontId="5" fillId="6" borderId="1" xfId="0" applyFont="1" applyFill="1" applyBorder="1"/>
    <xf numFmtId="0" fontId="5" fillId="6" borderId="1" xfId="0" applyFont="1" applyFill="1" applyBorder="1" applyAlignment="1">
      <alignment horizontal="left" vertical="center"/>
    </xf>
    <xf numFmtId="0" fontId="10" fillId="6" borderId="1" xfId="0" applyFont="1" applyFill="1" applyBorder="1" applyAlignment="1">
      <alignment vertical="center" wrapText="1"/>
    </xf>
    <xf numFmtId="0" fontId="10" fillId="6" borderId="1" xfId="0" applyFont="1" applyFill="1" applyBorder="1" applyAlignment="1">
      <alignment vertical="center"/>
    </xf>
    <xf numFmtId="0" fontId="0" fillId="6" borderId="1" xfId="0" applyFill="1" applyBorder="1"/>
    <xf numFmtId="0" fontId="5" fillId="6" borderId="1" xfId="0" applyFont="1" applyFill="1" applyBorder="1" applyAlignment="1">
      <alignment vertical="center" wrapText="1"/>
    </xf>
    <xf numFmtId="0" fontId="5" fillId="6" borderId="1" xfId="0" applyFont="1" applyFill="1" applyBorder="1" applyAlignment="1">
      <alignment vertical="center"/>
    </xf>
    <xf numFmtId="0" fontId="46" fillId="6" borderId="1" xfId="0" applyFont="1" applyFill="1" applyBorder="1" applyAlignment="1">
      <alignment vertical="center" wrapText="1"/>
    </xf>
    <xf numFmtId="0" fontId="46" fillId="6" borderId="1" xfId="0" applyFont="1" applyFill="1" applyBorder="1" applyAlignment="1">
      <alignment vertical="center"/>
    </xf>
    <xf numFmtId="0" fontId="46" fillId="34" borderId="1" xfId="0" applyFont="1" applyFill="1" applyBorder="1" applyAlignment="1">
      <alignment vertical="center" wrapText="1"/>
    </xf>
    <xf numFmtId="0" fontId="46" fillId="34" borderId="1" xfId="0" applyFont="1" applyFill="1" applyBorder="1" applyAlignment="1">
      <alignment vertical="center"/>
    </xf>
    <xf numFmtId="0" fontId="5" fillId="0" borderId="5" xfId="0" applyFont="1" applyBorder="1"/>
    <xf numFmtId="0" fontId="10" fillId="35" borderId="1" xfId="0" applyFont="1" applyFill="1" applyBorder="1" applyAlignment="1">
      <alignment vertical="center" wrapText="1"/>
    </xf>
    <xf numFmtId="0" fontId="5" fillId="35" borderId="1" xfId="0" applyFont="1" applyFill="1" applyBorder="1"/>
    <xf numFmtId="0" fontId="5" fillId="35" borderId="1" xfId="0" applyFont="1" applyFill="1" applyBorder="1" applyAlignment="1">
      <alignment horizontal="left" vertical="center"/>
    </xf>
    <xf numFmtId="0" fontId="10" fillId="35" borderId="1" xfId="0" applyFont="1" applyFill="1" applyBorder="1" applyAlignment="1">
      <alignment vertical="center"/>
    </xf>
    <xf numFmtId="0" fontId="0" fillId="35" borderId="1" xfId="0" applyFill="1" applyBorder="1"/>
    <xf numFmtId="0" fontId="5" fillId="9" borderId="5" xfId="0" applyFont="1" applyFill="1" applyBorder="1" applyAlignment="1">
      <alignment wrapText="1"/>
    </xf>
    <xf numFmtId="0" fontId="2" fillId="0" borderId="6" xfId="0" applyFont="1" applyBorder="1" applyAlignment="1">
      <alignment horizontal="left" vertical="top" wrapText="1"/>
    </xf>
    <xf numFmtId="0" fontId="49" fillId="7" borderId="21" xfId="0" applyFont="1" applyFill="1" applyBorder="1" applyAlignment="1">
      <alignment horizontal="left" vertical="top" wrapText="1"/>
    </xf>
    <xf numFmtId="0" fontId="49" fillId="7" borderId="15" xfId="0" applyFont="1" applyFill="1" applyBorder="1" applyAlignment="1">
      <alignment horizontal="left" vertical="top" wrapText="1"/>
    </xf>
    <xf numFmtId="0" fontId="49" fillId="7" borderId="18" xfId="0" applyFont="1" applyFill="1" applyBorder="1" applyAlignment="1">
      <alignment horizontal="left" vertical="top" wrapText="1"/>
    </xf>
    <xf numFmtId="0" fontId="11" fillId="7" borderId="16" xfId="0" applyFont="1" applyFill="1" applyBorder="1" applyAlignment="1">
      <alignment horizontal="left" vertical="top" wrapText="1"/>
    </xf>
    <xf numFmtId="0" fontId="11" fillId="7" borderId="0" xfId="0" applyFont="1" applyFill="1" applyAlignment="1">
      <alignment horizontal="left" vertical="top" wrapText="1"/>
    </xf>
    <xf numFmtId="0" fontId="50" fillId="7" borderId="0" xfId="0" applyFont="1" applyFill="1" applyAlignment="1">
      <alignment horizontal="left" vertical="top" wrapText="1" indent="3"/>
    </xf>
    <xf numFmtId="0" fontId="50" fillId="7" borderId="19" xfId="0" applyFont="1" applyFill="1" applyBorder="1" applyAlignment="1">
      <alignment horizontal="left" vertical="top" wrapText="1" indent="3"/>
    </xf>
    <xf numFmtId="0" fontId="12" fillId="7" borderId="0" xfId="0" applyFont="1" applyFill="1" applyAlignment="1">
      <alignment horizontal="left" vertical="top" wrapText="1"/>
    </xf>
    <xf numFmtId="0" fontId="12" fillId="7" borderId="19" xfId="0" applyFont="1" applyFill="1" applyBorder="1" applyAlignment="1">
      <alignment horizontal="left" vertical="top" wrapText="1"/>
    </xf>
    <xf numFmtId="0" fontId="17" fillId="4" borderId="16"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20" xfId="0" applyFont="1" applyFill="1" applyBorder="1" applyAlignment="1">
      <alignment horizontal="center" vertical="center" wrapText="1"/>
    </xf>
    <xf numFmtId="14" fontId="11" fillId="4" borderId="4" xfId="0" applyNumberFormat="1" applyFont="1" applyFill="1" applyBorder="1" applyAlignment="1">
      <alignment horizontal="center" vertical="center" wrapText="1"/>
    </xf>
    <xf numFmtId="14" fontId="11" fillId="4" borderId="3" xfId="0" applyNumberFormat="1" applyFont="1" applyFill="1" applyBorder="1" applyAlignment="1">
      <alignment horizontal="center" vertical="center" wrapText="1"/>
    </xf>
    <xf numFmtId="0" fontId="11" fillId="4" borderId="17" xfId="0" applyFont="1" applyFill="1" applyBorder="1" applyAlignment="1">
      <alignment horizontal="right" vertical="center" wrapText="1" indent="1"/>
    </xf>
    <xf numFmtId="0" fontId="11" fillId="4" borderId="7" xfId="0" applyFont="1" applyFill="1" applyBorder="1" applyAlignment="1">
      <alignment horizontal="right" vertical="center" wrapText="1" indent="1"/>
    </xf>
    <xf numFmtId="0" fontId="11" fillId="4" borderId="17"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5" fillId="4" borderId="17"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5" xfId="0" applyFont="1" applyFill="1" applyBorder="1" applyAlignment="1">
      <alignment horizontal="center" vertical="center"/>
    </xf>
    <xf numFmtId="0" fontId="15" fillId="4" borderId="3" xfId="0" applyFont="1" applyFill="1" applyBorder="1" applyAlignment="1">
      <alignment horizontal="center" vertical="center"/>
    </xf>
    <xf numFmtId="0" fontId="17" fillId="4" borderId="15" xfId="0" applyFont="1" applyFill="1" applyBorder="1" applyAlignment="1">
      <alignment horizontal="center" vertical="center" wrapText="1"/>
    </xf>
    <xf numFmtId="0" fontId="17" fillId="4" borderId="18" xfId="0" applyFont="1" applyFill="1" applyBorder="1" applyAlignment="1">
      <alignment horizontal="center" vertical="center" wrapText="1"/>
    </xf>
    <xf numFmtId="0" fontId="11" fillId="4" borderId="21" xfId="0" applyFont="1" applyFill="1" applyBorder="1" applyAlignment="1">
      <alignment horizontal="left" vertical="top" wrapText="1"/>
    </xf>
    <xf numFmtId="0" fontId="11" fillId="4" borderId="15" xfId="0" applyFont="1" applyFill="1" applyBorder="1" applyAlignment="1">
      <alignment horizontal="left" vertical="top" wrapText="1"/>
    </xf>
    <xf numFmtId="0" fontId="11" fillId="4" borderId="7" xfId="0" applyFont="1" applyFill="1" applyBorder="1" applyAlignment="1">
      <alignment horizontal="left" vertical="top" wrapText="1"/>
    </xf>
    <xf numFmtId="0" fontId="11" fillId="8" borderId="18"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1" fillId="10" borderId="15"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7" borderId="4"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2" fillId="0" borderId="0" xfId="0" applyFont="1" applyAlignment="1">
      <alignment horizontal="center" wrapText="1"/>
    </xf>
    <xf numFmtId="0" fontId="21" fillId="3" borderId="0" xfId="0" applyFont="1" applyFill="1" applyAlignment="1" applyProtection="1">
      <alignment horizontal="left" vertical="top" wrapText="1"/>
      <protection locked="0"/>
    </xf>
    <xf numFmtId="0" fontId="0" fillId="3" borderId="0" xfId="0" applyFill="1" applyAlignment="1">
      <alignment horizontal="center"/>
    </xf>
    <xf numFmtId="0" fontId="0" fillId="0" borderId="0" xfId="0" applyAlignment="1"/>
    <xf numFmtId="0" fontId="19" fillId="4" borderId="7" xfId="0" applyFont="1" applyFill="1" applyBorder="1" applyAlignment="1"/>
    <xf numFmtId="0" fontId="5" fillId="9" borderId="5" xfId="0" applyFont="1" applyFill="1" applyBorder="1" applyAlignment="1"/>
    <xf numFmtId="0" fontId="12" fillId="7" borderId="0" xfId="0" applyFont="1" applyFill="1" applyAlignment="1">
      <alignment vertical="top"/>
    </xf>
    <xf numFmtId="0" fontId="5" fillId="0" borderId="0" xfId="0" applyFont="1" applyAlignment="1"/>
  </cellXfs>
  <cellStyles count="66">
    <cellStyle name="background-color:White; color:Black; font:font-family:Arial; font-size:8pt; fo" xfId="62" xr:uid="{B638A4A7-FDCD-413C-8006-98BA08196883}"/>
    <cellStyle name="background-color:White; color:Black; font:font-family:Arial; font-size:8pt; fo 2" xfId="64" xr:uid="{D3531C22-3CCD-470E-B537-FC0DC3808B79}"/>
    <cellStyle name="Comma" xfId="2" builtinId="3"/>
    <cellStyle name="Comma 2" xfId="59" xr:uid="{17164CAD-0A9B-4A8D-AA00-F60AE8A3F385}"/>
    <cellStyle name="Comma 5" xfId="60" xr:uid="{E35AAD38-2CB9-4C00-8A0D-82A8DD86CB7A}"/>
    <cellStyle name="Comma 52" xfId="40" xr:uid="{75F62A43-FEBC-4000-91B0-ABA13C404033}"/>
    <cellStyle name="Currency 2" xfId="46" xr:uid="{1C78B9F0-FACB-435A-B975-4D2F0927AE46}"/>
    <cellStyle name="Currency 2 10" xfId="54" xr:uid="{BA5DCDA8-94B2-4863-B638-6CD14858E49B}"/>
    <cellStyle name="Currency 2 2" xfId="47" xr:uid="{A62E1730-BB6F-4B92-8D0C-EC7F8F18685B}"/>
    <cellStyle name="Currency 3" xfId="56" xr:uid="{62E466CD-F3F0-4AC9-B07B-59392B583EB3}"/>
    <cellStyle name="Hyperlink" xfId="1" builtinId="8"/>
    <cellStyle name="Normal" xfId="0" builtinId="0"/>
    <cellStyle name="Normal 2" xfId="41" xr:uid="{0B78852C-4405-488B-8D3F-2DE6CA48CC13}"/>
    <cellStyle name="Normal 2 10" xfId="42" xr:uid="{3DE385E3-5C45-4659-9021-972CE6844195}"/>
    <cellStyle name="Normal 2 2" xfId="65" xr:uid="{CC90F741-9451-4347-9D29-CDD5F56CB64B}"/>
    <cellStyle name="Normal 20 2 2 2" xfId="63" xr:uid="{5F98DEC4-4F92-4403-93B5-25513BA656B1}"/>
    <cellStyle name="Normal 3" xfId="43" xr:uid="{28F2270C-992C-4329-8399-CB42892B3528}"/>
    <cellStyle name="Normal 4" xfId="55" xr:uid="{059A7AFC-75BA-4574-A9E8-99DBC8FAFDE6}"/>
    <cellStyle name="Normal 4 2" xfId="58" xr:uid="{847F7853-3C98-4FFD-9DA1-BACC645984B7}"/>
    <cellStyle name="Normal 5" xfId="61" xr:uid="{D64EE61F-5C96-48A2-BBD9-887C7D92570B}"/>
    <cellStyle name="Normal 62" xfId="44" xr:uid="{EE010581-9A97-47B5-AD59-8E07D39E7232}"/>
    <cellStyle name="Normal 8" xfId="45" xr:uid="{A1956A2E-02E4-4974-B441-A9D85968C055}"/>
    <cellStyle name="Normal 8 2" xfId="53" xr:uid="{0EB2367A-2822-4AD8-8C93-E9466FB2CD30}"/>
    <cellStyle name="Percent" xfId="3" builtinId="5"/>
    <cellStyle name="Percent 2" xfId="57" xr:uid="{43D37B5C-1510-424F-8946-DA36BFEB8DF8}"/>
    <cellStyle name="SAPBorder" xfId="23" xr:uid="{9BD933A4-4DEB-4A16-9314-4723ACB14C59}"/>
    <cellStyle name="SAPDataCell" xfId="5" xr:uid="{F1E553B6-7D81-403A-BA8C-65B309C58AC0}"/>
    <cellStyle name="SAPDataCell 2" xfId="50" xr:uid="{5DB992F1-CFCA-4FD3-B091-DC403708596B}"/>
    <cellStyle name="SAPDataRemoved" xfId="24" xr:uid="{1BF07835-7C17-446B-AC06-2FD81E334BC1}"/>
    <cellStyle name="SAPDataTotalCell" xfId="6" xr:uid="{DA3C0F05-5BE2-4AE3-BA9A-F77D8DD4665A}"/>
    <cellStyle name="SAPDataTotalCell 2" xfId="52" xr:uid="{FB5C04D8-4B3A-4B34-B665-C9310A104EB1}"/>
    <cellStyle name="SAPDimensionCell" xfId="4" xr:uid="{E0F71DB7-2F27-4AF6-860A-51A70D4A4A87}"/>
    <cellStyle name="SAPDimensionCell 2" xfId="48" xr:uid="{D704A989-7BFB-42E7-9370-2FBA15E7908C}"/>
    <cellStyle name="SAPEditableDataCell" xfId="8" xr:uid="{65FEB409-D2CE-4B98-BA4C-D0D76971898F}"/>
    <cellStyle name="SAPEditableDataTotalCell" xfId="11" xr:uid="{82834B18-C56A-4F64-84D6-62C24B68F6B7}"/>
    <cellStyle name="SAPEmphasized" xfId="29" xr:uid="{67770B12-27ED-4CA0-86EB-681E0EC2BDF8}"/>
    <cellStyle name="SAPEmphasizedEditableDataCell" xfId="31" xr:uid="{C1991113-26DA-4F3D-91FC-C2C87949CE1D}"/>
    <cellStyle name="SAPEmphasizedEditableDataTotalCell" xfId="32" xr:uid="{783E29B7-4B57-40E2-9917-991A176117F0}"/>
    <cellStyle name="SAPEmphasizedLockedDataCell" xfId="35" xr:uid="{BCE51CC6-D133-4206-B1B0-7B3B499F90AB}"/>
    <cellStyle name="SAPEmphasizedLockedDataTotalCell" xfId="36" xr:uid="{489ED2A6-636A-48AD-BEB4-3DDB9459ADD0}"/>
    <cellStyle name="SAPEmphasizedReadonlyDataCell" xfId="33" xr:uid="{CC65E33A-53BE-4853-AE7A-EEBD529E7E99}"/>
    <cellStyle name="SAPEmphasizedReadonlyDataTotalCell" xfId="34" xr:uid="{F835AC7B-7B01-4478-AE00-8F442E9785D5}"/>
    <cellStyle name="SAPEmphasizedTotal" xfId="30" xr:uid="{9B1EA53B-C915-4C3D-825B-F7B54C99FAC3}"/>
    <cellStyle name="SAPError" xfId="25" xr:uid="{76F9E026-AA1B-4821-BFF1-F542C4930F0C}"/>
    <cellStyle name="SAPExceptionLevel1" xfId="14" xr:uid="{55B5412D-ECA0-4CE9-A937-22D8B1FEAD0C}"/>
    <cellStyle name="SAPExceptionLevel2" xfId="15" xr:uid="{AF234208-53A4-4156-80B7-99507B8980BE}"/>
    <cellStyle name="SAPExceptionLevel3" xfId="16" xr:uid="{0958D706-064C-40AE-BD4E-EFB5E80D72C6}"/>
    <cellStyle name="SAPExceptionLevel4" xfId="17" xr:uid="{DBDFC32A-6D6C-435B-BD1E-14B1A8CBF05C}"/>
    <cellStyle name="SAPExceptionLevel5" xfId="18" xr:uid="{56E72B5C-D809-445A-A1DF-1E39D4672287}"/>
    <cellStyle name="SAPExceptionLevel6" xfId="19" xr:uid="{FDA9373D-9212-4148-A964-41326226066A}"/>
    <cellStyle name="SAPExceptionLevel7" xfId="20" xr:uid="{4617EB10-828B-4FE8-9D01-9243FF9287A6}"/>
    <cellStyle name="SAPExceptionLevel8" xfId="21" xr:uid="{803E707C-C2CF-4C94-8D42-2EB36D529958}"/>
    <cellStyle name="SAPExceptionLevel9" xfId="22" xr:uid="{9008CB02-6B4F-4C91-91FD-EECAC5F3EEF7}"/>
    <cellStyle name="SAPFormula" xfId="37" xr:uid="{8DA4C42D-9ECD-41E3-8F52-487C4930DA51}"/>
    <cellStyle name="SAPGroupingFillCell" xfId="7" xr:uid="{AA56DE09-79C6-44D7-A2F3-3C09E28F6DD6}"/>
    <cellStyle name="SAPHierarchyCell" xfId="39" xr:uid="{B49F661F-B6B8-4C41-B597-0D3B641693C5}"/>
    <cellStyle name="SAPHierarchyOddCell" xfId="38" xr:uid="{0655DBA5-2760-471F-B969-AEF34E30EFB4}"/>
    <cellStyle name="SAPLockedDataCell" xfId="10" xr:uid="{ED01BE62-9099-4AFF-AC11-133A1B8618C8}"/>
    <cellStyle name="SAPLockedDataTotalCell" xfId="13" xr:uid="{2BCAA946-32D6-4688-AECE-B8C19232EC6B}"/>
    <cellStyle name="SAPMemberCell" xfId="27" xr:uid="{8710FB60-D786-4964-9BFE-C828E57ABE5A}"/>
    <cellStyle name="SAPMemberCell 2" xfId="49" xr:uid="{979759F5-885D-4143-9FDA-93A0E51ED5F2}"/>
    <cellStyle name="SAPMemberTotalCell" xfId="28" xr:uid="{2555381B-12CA-4BE1-83F0-6E34E2CB2052}"/>
    <cellStyle name="SAPMemberTotalCell 2" xfId="51" xr:uid="{D3656355-A1EA-4C56-A19C-D917283C3642}"/>
    <cellStyle name="SAPMessageText" xfId="26" xr:uid="{F731AD43-5DF2-45F0-A154-CC51BF81190C}"/>
    <cellStyle name="SAPReadonlyDataCell" xfId="9" xr:uid="{8B55B0A3-C2FF-499D-89C4-DBBCE2CA810E}"/>
    <cellStyle name="SAPReadonlyDataTotalCell" xfId="12" xr:uid="{6F4F47BF-E292-4B0A-BFEC-A92AE26F95CB}"/>
  </cellStyles>
  <dxfs count="52">
    <dxf>
      <font>
        <b/>
        <i val="0"/>
        <color theme="0"/>
      </font>
      <fill>
        <patternFill>
          <bgColor rgb="FF00CC00"/>
        </patternFill>
      </fill>
    </dxf>
    <dxf>
      <font>
        <b/>
        <i val="0"/>
        <color theme="0"/>
      </font>
      <fill>
        <patternFill>
          <bgColor rgb="FFFF9933"/>
        </patternFill>
      </fill>
    </dxf>
    <dxf>
      <font>
        <b/>
        <i val="0"/>
        <color theme="0"/>
      </font>
      <fill>
        <patternFill>
          <bgColor rgb="FFFF00FF"/>
        </patternFill>
      </fill>
    </dxf>
    <dxf>
      <font>
        <color rgb="FF9C0006"/>
      </font>
      <fill>
        <patternFill>
          <bgColor rgb="FFFFC7CE"/>
        </patternFill>
      </fill>
    </dxf>
    <dxf>
      <font>
        <color theme="0"/>
      </font>
      <fill>
        <patternFill>
          <bgColor rgb="FFFF7C80"/>
        </patternFill>
      </fill>
    </dxf>
    <dxf>
      <font>
        <color theme="0"/>
      </font>
      <fill>
        <patternFill>
          <bgColor rgb="FFC00000"/>
        </patternFill>
      </fill>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ont>
        <b/>
        <i/>
        <color theme="0"/>
      </font>
      <fill>
        <patternFill>
          <bgColor rgb="FFFF9933"/>
        </patternFill>
      </fill>
      <border>
        <vertical/>
        <horizontal/>
      </border>
    </dxf>
    <dxf>
      <font>
        <b/>
        <i/>
        <color theme="0"/>
      </font>
      <fill>
        <patternFill>
          <bgColor rgb="FF33CC33"/>
        </patternFill>
      </fill>
      <border>
        <vertical/>
        <horizontal/>
      </border>
    </dxf>
    <dxf>
      <font>
        <b/>
        <i/>
        <color theme="0"/>
      </font>
      <fill>
        <patternFill>
          <bgColor rgb="FFFF00FF"/>
        </patternFill>
      </fill>
      <border>
        <vertical/>
        <horizontal/>
      </border>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ont>
        <b/>
        <i val="0"/>
        <color theme="0"/>
      </font>
      <fill>
        <patternFill>
          <bgColor rgb="FF00CC00"/>
        </patternFill>
      </fill>
    </dxf>
    <dxf>
      <font>
        <b/>
        <i val="0"/>
        <color theme="0"/>
      </font>
      <fill>
        <patternFill>
          <bgColor rgb="FFFF9933"/>
        </patternFill>
      </fill>
    </dxf>
    <dxf>
      <font>
        <b/>
        <i val="0"/>
        <color theme="0"/>
      </font>
      <fill>
        <patternFill>
          <bgColor rgb="FFFF00FF"/>
        </patternFill>
      </fill>
    </dxf>
    <dxf>
      <font>
        <color rgb="FF9C0006"/>
      </font>
      <fill>
        <patternFill>
          <bgColor rgb="FFFFC7CE"/>
        </patternFill>
      </fill>
    </dxf>
    <dxf>
      <font>
        <color theme="0"/>
      </font>
      <fill>
        <patternFill>
          <bgColor rgb="FFFF7C80"/>
        </patternFill>
      </fill>
    </dxf>
    <dxf>
      <font>
        <color theme="0"/>
      </font>
      <fill>
        <patternFill>
          <bgColor rgb="FFC00000"/>
        </patternFill>
      </fill>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ont>
        <b/>
        <i/>
        <color theme="0"/>
      </font>
      <fill>
        <patternFill>
          <bgColor rgb="FFFF9933"/>
        </patternFill>
      </fill>
      <border>
        <vertical/>
        <horizontal/>
      </border>
    </dxf>
    <dxf>
      <font>
        <b/>
        <i/>
        <color theme="0"/>
      </font>
      <fill>
        <patternFill>
          <bgColor rgb="FF33CC33"/>
        </patternFill>
      </fill>
      <border>
        <vertical/>
        <horizontal/>
      </border>
    </dxf>
    <dxf>
      <font>
        <b/>
        <i/>
        <color theme="0"/>
      </font>
      <fill>
        <patternFill>
          <bgColor rgb="FFFF00FF"/>
        </patternFill>
      </fill>
      <border>
        <vertical/>
        <horizontal/>
      </border>
    </dxf>
    <dxf>
      <font>
        <b/>
        <i val="0"/>
        <color theme="0"/>
      </font>
      <fill>
        <patternFill>
          <bgColor rgb="FF00CC00"/>
        </patternFill>
      </fill>
    </dxf>
    <dxf>
      <font>
        <b/>
        <i val="0"/>
        <color theme="0"/>
      </font>
      <fill>
        <patternFill>
          <bgColor rgb="FFFF9933"/>
        </patternFill>
      </fill>
    </dxf>
    <dxf>
      <font>
        <b/>
        <i val="0"/>
        <color theme="0"/>
      </font>
      <fill>
        <patternFill>
          <bgColor rgb="FFFF00FF"/>
        </patternFill>
      </fill>
    </dxf>
    <dxf>
      <font>
        <color rgb="FF9C0006"/>
      </font>
      <fill>
        <patternFill>
          <bgColor rgb="FFFFC7CE"/>
        </patternFill>
      </fill>
    </dxf>
    <dxf>
      <font>
        <color theme="0"/>
      </font>
      <fill>
        <patternFill>
          <bgColor rgb="FFFF7C80"/>
        </patternFill>
      </fill>
    </dxf>
    <dxf>
      <font>
        <color theme="0"/>
      </font>
      <fill>
        <patternFill>
          <bgColor rgb="FFC00000"/>
        </patternFill>
      </fill>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ont>
        <b/>
        <i/>
        <color theme="0"/>
      </font>
      <fill>
        <patternFill>
          <bgColor rgb="FFFF9933"/>
        </patternFill>
      </fill>
      <border>
        <vertical/>
        <horizontal/>
      </border>
    </dxf>
    <dxf>
      <font>
        <b/>
        <i/>
        <color theme="0"/>
      </font>
      <fill>
        <patternFill>
          <bgColor rgb="FF33CC33"/>
        </patternFill>
      </fill>
      <border>
        <vertical/>
        <horizontal/>
      </border>
    </dxf>
    <dxf>
      <font>
        <b/>
        <i/>
        <color theme="0"/>
      </font>
      <fill>
        <patternFill>
          <bgColor rgb="FFFF00FF"/>
        </patternFill>
      </fill>
      <border>
        <vertical/>
        <horizontal/>
      </border>
    </dxf>
    <dxf>
      <alignment horizontal="general" vertical="top"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numFmt numFmtId="173" formatCode="_(&quot;$&quot;* 0.00,,\ &quot;M&quot;_);_(&quot;$&quot;* \(#,##0\);_(&quot;&quot;??_);_(@_)"/>
    </dxf>
    <dxf>
      <alignment wrapText="1"/>
    </dxf>
    <dxf>
      <alignment wrapText="1"/>
    </dxf>
  </dxfs>
  <tableStyles count="1" defaultTableStyle="TableStyleMedium2" defaultPivotStyle="PivotStyleLight16">
    <tableStyle name="Invisible" pivot="0" table="0" count="0" xr9:uid="{169A77D4-F2E5-4A17-B4CE-BF1EB4D90154}"/>
  </tableStyles>
  <colors>
    <mruColors>
      <color rgb="FFFFCCFF"/>
      <color rgb="FFFF9933"/>
      <color rgb="FF00CC00"/>
      <color rgb="FFFF99FF"/>
      <color rgb="FFFF66CC"/>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33840171798488E-4"/>
          <c:y val="0"/>
          <c:w val="0.99978661598282015"/>
          <c:h val="1"/>
        </c:manualLayout>
      </c:layout>
      <c:barChart>
        <c:barDir val="col"/>
        <c:grouping val="stacked"/>
        <c:varyColors val="0"/>
        <c:ser>
          <c:idx val="0"/>
          <c:order val="0"/>
          <c:tx>
            <c:strRef>
              <c:f>'Capitola v1.0'!$H$68</c:f>
              <c:strCache>
                <c:ptCount val="1"/>
                <c:pt idx="0">
                  <c:v>Existing - AOP</c:v>
                </c:pt>
              </c:strCache>
            </c:strRef>
          </c:tx>
          <c:spPr>
            <a:solidFill>
              <a:schemeClr val="accent1">
                <a:alpha val="70000"/>
              </a:schemeClr>
            </a:solidFill>
            <a:ln>
              <a:noFill/>
            </a:ln>
            <a:effectLst/>
          </c:spPr>
          <c:invertIfNegative val="0"/>
          <c:cat>
            <c:strRef>
              <c:f>'Capitola v1.0'!$I$13:$AJ$13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v1.0'!$I$68:$AJ$68</c:f>
              <c:numCache>
                <c:formatCode>_(* 0.0_);_(* \(0.0\);_(*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C95C-4E84-A71C-B98E0783694E}"/>
            </c:ext>
          </c:extLst>
        </c:ser>
        <c:ser>
          <c:idx val="3"/>
          <c:order val="1"/>
          <c:tx>
            <c:strRef>
              <c:f>'Capitola v1.0'!$H$69</c:f>
              <c:strCache>
                <c:ptCount val="1"/>
                <c:pt idx="0">
                  <c:v>Incremental - XCHG</c:v>
                </c:pt>
              </c:strCache>
            </c:strRef>
          </c:tx>
          <c:spPr>
            <a:solidFill>
              <a:schemeClr val="accent4">
                <a:alpha val="70000"/>
              </a:schemeClr>
            </a:solidFill>
            <a:ln>
              <a:noFill/>
            </a:ln>
            <a:effectLst/>
          </c:spPr>
          <c:invertIfNegative val="0"/>
          <c:cat>
            <c:strRef>
              <c:f>'Capitola v1.0'!$I$13:$AJ$13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v1.0'!$I$69:$AJ$69</c:f>
              <c:numCache>
                <c:formatCode>_(* 0.0_);_(* \(0.0\);_(* ""??_);_(@_)</c:formatCode>
                <c:ptCount val="14"/>
                <c:pt idx="0">
                  <c:v>0.5</c:v>
                </c:pt>
                <c:pt idx="1">
                  <c:v>0.7</c:v>
                </c:pt>
                <c:pt idx="2">
                  <c:v>1</c:v>
                </c:pt>
                <c:pt idx="3">
                  <c:v>1</c:v>
                </c:pt>
                <c:pt idx="4">
                  <c:v>1.5</c:v>
                </c:pt>
                <c:pt idx="5">
                  <c:v>5</c:v>
                </c:pt>
                <c:pt idx="6">
                  <c:v>15.6</c:v>
                </c:pt>
                <c:pt idx="7">
                  <c:v>22.7</c:v>
                </c:pt>
                <c:pt idx="8">
                  <c:v>29.2</c:v>
                </c:pt>
                <c:pt idx="9">
                  <c:v>30.1</c:v>
                </c:pt>
                <c:pt idx="10">
                  <c:v>28.6</c:v>
                </c:pt>
                <c:pt idx="11">
                  <c:v>21.1</c:v>
                </c:pt>
                <c:pt idx="12">
                  <c:v>15</c:v>
                </c:pt>
                <c:pt idx="13">
                  <c:v>13.299999999999999</c:v>
                </c:pt>
              </c:numCache>
            </c:numRef>
          </c:val>
          <c:extLst>
            <c:ext xmlns:c16="http://schemas.microsoft.com/office/drawing/2014/chart" uri="{C3380CC4-5D6E-409C-BE32-E72D297353CC}">
              <c16:uniqueId val="{00000000-10C3-4D97-8470-27E450AEB057}"/>
            </c:ext>
          </c:extLst>
        </c:ser>
        <c:dLbls>
          <c:showLegendKey val="0"/>
          <c:showVal val="0"/>
          <c:showCatName val="0"/>
          <c:showSerName val="0"/>
          <c:showPercent val="0"/>
          <c:showBubbleSize val="0"/>
        </c:dLbls>
        <c:gapWidth val="20"/>
        <c:overlap val="100"/>
        <c:axId val="792268463"/>
        <c:axId val="792269423"/>
      </c:barChart>
      <c:barChart>
        <c:barDir val="col"/>
        <c:grouping val="clustered"/>
        <c:varyColors val="0"/>
        <c:ser>
          <c:idx val="2"/>
          <c:order val="2"/>
          <c:tx>
            <c:strRef>
              <c:f>'Capitola v1.0'!$H$70</c:f>
              <c:strCache>
                <c:ptCount val="1"/>
                <c:pt idx="0">
                  <c:v>Grand Total</c:v>
                </c:pt>
              </c:strCache>
            </c:strRef>
          </c:tx>
          <c:spPr>
            <a:noFill/>
            <a:ln>
              <a:noFill/>
            </a:ln>
            <a:effectLst/>
          </c:spPr>
          <c:invertIfNegative val="0"/>
          <c:dLbls>
            <c:numFmt formatCode="_(* #,##0.0_);_(* \(#,##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'Capitola v1.0'!$I$13:$AJ$13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v1.0'!$I$70:$AJ$70</c:f>
              <c:numCache>
                <c:formatCode>_(* 0.0_);_(* \(0.0\);_(* ""??_);_(@_)</c:formatCode>
                <c:ptCount val="14"/>
                <c:pt idx="0">
                  <c:v>0.5</c:v>
                </c:pt>
                <c:pt idx="1">
                  <c:v>0.7</c:v>
                </c:pt>
                <c:pt idx="2">
                  <c:v>1</c:v>
                </c:pt>
                <c:pt idx="3">
                  <c:v>1</c:v>
                </c:pt>
                <c:pt idx="4">
                  <c:v>1.5</c:v>
                </c:pt>
                <c:pt idx="5">
                  <c:v>5</c:v>
                </c:pt>
                <c:pt idx="6">
                  <c:v>15.6</c:v>
                </c:pt>
                <c:pt idx="7">
                  <c:v>22.7</c:v>
                </c:pt>
                <c:pt idx="8">
                  <c:v>29.2</c:v>
                </c:pt>
                <c:pt idx="9">
                  <c:v>30.1</c:v>
                </c:pt>
                <c:pt idx="10">
                  <c:v>28.6</c:v>
                </c:pt>
                <c:pt idx="11">
                  <c:v>21.1</c:v>
                </c:pt>
                <c:pt idx="12">
                  <c:v>15</c:v>
                </c:pt>
                <c:pt idx="13">
                  <c:v>13.299999999999999</c:v>
                </c:pt>
              </c:numCache>
            </c:numRef>
          </c:val>
          <c:extLst>
            <c:ext xmlns:c16="http://schemas.microsoft.com/office/drawing/2014/chart" uri="{C3380CC4-5D6E-409C-BE32-E72D297353CC}">
              <c16:uniqueId val="{00000002-C95C-4E84-A71C-B98E0783694E}"/>
            </c:ext>
          </c:extLst>
        </c:ser>
        <c:dLbls>
          <c:showLegendKey val="0"/>
          <c:showVal val="1"/>
          <c:showCatName val="0"/>
          <c:showSerName val="0"/>
          <c:showPercent val="0"/>
          <c:showBubbleSize val="0"/>
        </c:dLbls>
        <c:gapWidth val="20"/>
        <c:axId val="1027617248"/>
        <c:axId val="1027615808"/>
      </c:barChart>
      <c:catAx>
        <c:axId val="792268463"/>
        <c:scaling>
          <c:orientation val="minMax"/>
        </c:scaling>
        <c:delete val="1"/>
        <c:axPos val="b"/>
        <c:numFmt formatCode="General" sourceLinked="1"/>
        <c:majorTickMark val="none"/>
        <c:minorTickMark val="none"/>
        <c:tickLblPos val="nextTo"/>
        <c:crossAx val="792269423"/>
        <c:crosses val="autoZero"/>
        <c:auto val="1"/>
        <c:lblAlgn val="ctr"/>
        <c:lblOffset val="100"/>
        <c:noMultiLvlLbl val="0"/>
      </c:catAx>
      <c:valAx>
        <c:axId val="792269423"/>
        <c:scaling>
          <c:orientation val="minMax"/>
        </c:scaling>
        <c:delete val="1"/>
        <c:axPos val="l"/>
        <c:numFmt formatCode="_(* 0.0_);_(* \(0.0\);_(* &quot;&quot;??_);_(@_)" sourceLinked="1"/>
        <c:majorTickMark val="none"/>
        <c:minorTickMark val="none"/>
        <c:tickLblPos val="nextTo"/>
        <c:crossAx val="792268463"/>
        <c:crosses val="autoZero"/>
        <c:crossBetween val="between"/>
      </c:valAx>
      <c:valAx>
        <c:axId val="1027615808"/>
        <c:scaling>
          <c:orientation val="minMax"/>
        </c:scaling>
        <c:delete val="1"/>
        <c:axPos val="r"/>
        <c:numFmt formatCode="_(* 0.0_);_(* \(0.0\);_(* &quot;&quot;??_);_(@_)" sourceLinked="1"/>
        <c:majorTickMark val="out"/>
        <c:minorTickMark val="none"/>
        <c:tickLblPos val="nextTo"/>
        <c:crossAx val="1027617248"/>
        <c:crosses val="max"/>
        <c:crossBetween val="between"/>
      </c:valAx>
      <c:catAx>
        <c:axId val="1027617248"/>
        <c:scaling>
          <c:orientation val="minMax"/>
        </c:scaling>
        <c:delete val="1"/>
        <c:axPos val="b"/>
        <c:numFmt formatCode="General" sourceLinked="1"/>
        <c:majorTickMark val="out"/>
        <c:minorTickMark val="none"/>
        <c:tickLblPos val="nextTo"/>
        <c:crossAx val="1027615808"/>
        <c:crosses val="autoZero"/>
        <c:auto val="1"/>
        <c:lblAlgn val="ctr"/>
        <c:lblOffset val="100"/>
        <c:noMultiLvlLbl val="0"/>
      </c:catAx>
      <c:spPr>
        <a:noFill/>
        <a:ln>
          <a:solidFill>
            <a:sysClr val="windowText" lastClr="000000"/>
          </a:solidFill>
        </a:ln>
        <a:effectLst/>
      </c:spPr>
    </c:plotArea>
    <c:legend>
      <c:legendPos val="t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33840171798488E-4"/>
          <c:y val="0"/>
          <c:w val="0.99978661598282015"/>
          <c:h val="1"/>
        </c:manualLayout>
      </c:layout>
      <c:barChart>
        <c:barDir val="col"/>
        <c:grouping val="stacked"/>
        <c:varyColors val="0"/>
        <c:ser>
          <c:idx val="0"/>
          <c:order val="0"/>
          <c:tx>
            <c:strRef>
              <c:f>'Capitola v1.0 r2 (EPD)'!$H$19</c:f>
              <c:strCache>
                <c:ptCount val="1"/>
                <c:pt idx="0">
                  <c:v>Existing - AOP</c:v>
                </c:pt>
              </c:strCache>
            </c:strRef>
          </c:tx>
          <c:spPr>
            <a:solidFill>
              <a:schemeClr val="accent1">
                <a:alpha val="70000"/>
              </a:schemeClr>
            </a:solidFill>
            <a:ln>
              <a:noFill/>
            </a:ln>
            <a:effectLst/>
          </c:spPr>
          <c:invertIfNegative val="0"/>
          <c:cat>
            <c:strRef>
              <c:f>'Capitola v1.0 r2 (EPD)'!$I$13:$AJ$13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 r2 (EPD)'!$I$19:$AJ$19</c:f>
              <c:numCache>
                <c:formatCode>_(* 0.0_);_(* \(0.0\);_(*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4E96-4BCB-81C1-5FD97F0142B3}"/>
            </c:ext>
          </c:extLst>
        </c:ser>
        <c:ser>
          <c:idx val="3"/>
          <c:order val="1"/>
          <c:tx>
            <c:strRef>
              <c:f>'Capitola v1.0 r2 (EPD)'!$H$20</c:f>
              <c:strCache>
                <c:ptCount val="1"/>
                <c:pt idx="0">
                  <c:v>Incremental - XCHG</c:v>
                </c:pt>
              </c:strCache>
            </c:strRef>
          </c:tx>
          <c:spPr>
            <a:solidFill>
              <a:schemeClr val="accent4">
                <a:alpha val="70000"/>
              </a:schemeClr>
            </a:solidFill>
            <a:ln>
              <a:noFill/>
            </a:ln>
            <a:effectLst/>
          </c:spPr>
          <c:invertIfNegative val="0"/>
          <c:cat>
            <c:strRef>
              <c:f>'Capitola v1.0 r2 (EPD)'!$I$13:$AJ$13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 r2 (EPD)'!$I$20:$AJ$20</c:f>
              <c:numCache>
                <c:formatCode>_(* 0.0_);_(* \(0.0\);_(*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4E96-4BCB-81C1-5FD97F0142B3}"/>
            </c:ext>
          </c:extLst>
        </c:ser>
        <c:dLbls>
          <c:showLegendKey val="0"/>
          <c:showVal val="0"/>
          <c:showCatName val="0"/>
          <c:showSerName val="0"/>
          <c:showPercent val="0"/>
          <c:showBubbleSize val="0"/>
        </c:dLbls>
        <c:gapWidth val="20"/>
        <c:overlap val="100"/>
        <c:axId val="792268463"/>
        <c:axId val="792269423"/>
      </c:barChart>
      <c:barChart>
        <c:barDir val="col"/>
        <c:grouping val="clustered"/>
        <c:varyColors val="0"/>
        <c:ser>
          <c:idx val="2"/>
          <c:order val="2"/>
          <c:tx>
            <c:strRef>
              <c:f>'Capitola v1.0 r2 (EPD)'!$H$21</c:f>
              <c:strCache>
                <c:ptCount val="1"/>
                <c:pt idx="0">
                  <c:v>Grand Total</c:v>
                </c:pt>
              </c:strCache>
            </c:strRef>
          </c:tx>
          <c:spPr>
            <a:noFill/>
            <a:ln>
              <a:noFill/>
            </a:ln>
            <a:effectLst/>
          </c:spPr>
          <c:invertIfNegative val="0"/>
          <c:dLbls>
            <c:numFmt formatCode="_(* #,##0.0_);_(* \(#,##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'Capitola v1.0 r2 (EPD)'!$I$13:$AJ$13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 r2 (EPD)'!$I$21:$AJ$21</c:f>
              <c:numCache>
                <c:formatCode>_(* 0.0_);_(* \(0.0\);_(*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2-4E96-4BCB-81C1-5FD97F0142B3}"/>
            </c:ext>
          </c:extLst>
        </c:ser>
        <c:dLbls>
          <c:showLegendKey val="0"/>
          <c:showVal val="1"/>
          <c:showCatName val="0"/>
          <c:showSerName val="0"/>
          <c:showPercent val="0"/>
          <c:showBubbleSize val="0"/>
        </c:dLbls>
        <c:gapWidth val="20"/>
        <c:axId val="1027617248"/>
        <c:axId val="1027615808"/>
      </c:barChart>
      <c:catAx>
        <c:axId val="792268463"/>
        <c:scaling>
          <c:orientation val="minMax"/>
        </c:scaling>
        <c:delete val="1"/>
        <c:axPos val="b"/>
        <c:numFmt formatCode="General" sourceLinked="1"/>
        <c:majorTickMark val="none"/>
        <c:minorTickMark val="none"/>
        <c:tickLblPos val="nextTo"/>
        <c:crossAx val="792269423"/>
        <c:crosses val="autoZero"/>
        <c:auto val="1"/>
        <c:lblAlgn val="ctr"/>
        <c:lblOffset val="100"/>
        <c:noMultiLvlLbl val="0"/>
      </c:catAx>
      <c:valAx>
        <c:axId val="792269423"/>
        <c:scaling>
          <c:orientation val="minMax"/>
        </c:scaling>
        <c:delete val="1"/>
        <c:axPos val="l"/>
        <c:numFmt formatCode="_(* 0.0_);_(* \(0.0\);_(* &quot;&quot;??_);_(@_)" sourceLinked="1"/>
        <c:majorTickMark val="none"/>
        <c:minorTickMark val="none"/>
        <c:tickLblPos val="nextTo"/>
        <c:crossAx val="792268463"/>
        <c:crosses val="autoZero"/>
        <c:crossBetween val="between"/>
      </c:valAx>
      <c:valAx>
        <c:axId val="1027615808"/>
        <c:scaling>
          <c:orientation val="minMax"/>
        </c:scaling>
        <c:delete val="1"/>
        <c:axPos val="r"/>
        <c:numFmt formatCode="_(* 0.0_);_(* \(0.0\);_(* &quot;&quot;??_);_(@_)" sourceLinked="1"/>
        <c:majorTickMark val="out"/>
        <c:minorTickMark val="none"/>
        <c:tickLblPos val="nextTo"/>
        <c:crossAx val="1027617248"/>
        <c:crosses val="max"/>
        <c:crossBetween val="between"/>
      </c:valAx>
      <c:catAx>
        <c:axId val="1027617248"/>
        <c:scaling>
          <c:orientation val="minMax"/>
        </c:scaling>
        <c:delete val="1"/>
        <c:axPos val="b"/>
        <c:numFmt formatCode="General" sourceLinked="1"/>
        <c:majorTickMark val="out"/>
        <c:minorTickMark val="none"/>
        <c:tickLblPos val="nextTo"/>
        <c:crossAx val="1027615808"/>
        <c:crosses val="autoZero"/>
        <c:auto val="1"/>
        <c:lblAlgn val="ctr"/>
        <c:lblOffset val="100"/>
        <c:noMultiLvlLbl val="0"/>
      </c:catAx>
      <c:spPr>
        <a:noFill/>
        <a:ln>
          <a:solidFill>
            <a:sysClr val="windowText" lastClr="000000"/>
          </a:solidFill>
        </a:ln>
        <a:effectLst/>
      </c:spPr>
    </c:plotArea>
    <c:legend>
      <c:legendPos val="t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33840171798488E-4"/>
          <c:y val="0"/>
          <c:w val="0.99978661598282015"/>
          <c:h val="1"/>
        </c:manualLayout>
      </c:layout>
      <c:barChart>
        <c:barDir val="col"/>
        <c:grouping val="stacked"/>
        <c:varyColors val="0"/>
        <c:ser>
          <c:idx val="0"/>
          <c:order val="0"/>
          <c:tx>
            <c:strRef>
              <c:f>'Capitola v1.0 r2 (PAVS)'!$H$69</c:f>
              <c:strCache>
                <c:ptCount val="1"/>
                <c:pt idx="0">
                  <c:v>Existing - AOP</c:v>
                </c:pt>
              </c:strCache>
            </c:strRef>
          </c:tx>
          <c:spPr>
            <a:solidFill>
              <a:schemeClr val="accent1">
                <a:alpha val="70000"/>
              </a:schemeClr>
            </a:solidFill>
            <a:ln>
              <a:noFill/>
            </a:ln>
            <a:effectLst/>
          </c:spPr>
          <c:invertIfNegative val="0"/>
          <c:cat>
            <c:strRef>
              <c:f>'Capitola v1.0 r2 (PAVS)'!$I$13:$AJ$13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 r2 (PAVS)'!$I$69:$AJ$69</c:f>
              <c:numCache>
                <c:formatCode>_(* 0.0_);_(* \(0.0\);_(*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2201-4DE9-8E92-2185DB86D809}"/>
            </c:ext>
          </c:extLst>
        </c:ser>
        <c:ser>
          <c:idx val="3"/>
          <c:order val="1"/>
          <c:tx>
            <c:strRef>
              <c:f>'Capitola v1.0 r2 (PAVS)'!$H$70</c:f>
              <c:strCache>
                <c:ptCount val="1"/>
                <c:pt idx="0">
                  <c:v>Incremental - XCHG</c:v>
                </c:pt>
              </c:strCache>
            </c:strRef>
          </c:tx>
          <c:spPr>
            <a:solidFill>
              <a:schemeClr val="accent4">
                <a:alpha val="70000"/>
              </a:schemeClr>
            </a:solidFill>
            <a:ln>
              <a:noFill/>
            </a:ln>
            <a:effectLst/>
          </c:spPr>
          <c:invertIfNegative val="0"/>
          <c:cat>
            <c:strRef>
              <c:f>'Capitola v1.0 r2 (PAVS)'!$I$13:$AJ$13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 r2 (PAVS)'!$I$70:$AJ$70</c:f>
              <c:numCache>
                <c:formatCode>_(* 0.0_);_(* \(0.0\);_(* ""??_);_(@_)</c:formatCode>
                <c:ptCount val="14"/>
                <c:pt idx="0">
                  <c:v>0.5</c:v>
                </c:pt>
                <c:pt idx="1">
                  <c:v>0.7</c:v>
                </c:pt>
                <c:pt idx="2">
                  <c:v>1</c:v>
                </c:pt>
                <c:pt idx="3">
                  <c:v>1</c:v>
                </c:pt>
                <c:pt idx="4">
                  <c:v>1</c:v>
                </c:pt>
                <c:pt idx="5">
                  <c:v>2.5</c:v>
                </c:pt>
                <c:pt idx="6">
                  <c:v>13.6</c:v>
                </c:pt>
                <c:pt idx="7">
                  <c:v>20.2</c:v>
                </c:pt>
                <c:pt idx="8">
                  <c:v>28.7</c:v>
                </c:pt>
                <c:pt idx="9">
                  <c:v>30.1</c:v>
                </c:pt>
                <c:pt idx="10">
                  <c:v>29.6</c:v>
                </c:pt>
                <c:pt idx="11">
                  <c:v>22.6</c:v>
                </c:pt>
                <c:pt idx="12">
                  <c:v>16.200000000000003</c:v>
                </c:pt>
                <c:pt idx="13">
                  <c:v>14</c:v>
                </c:pt>
              </c:numCache>
            </c:numRef>
          </c:val>
          <c:extLst>
            <c:ext xmlns:c16="http://schemas.microsoft.com/office/drawing/2014/chart" uri="{C3380CC4-5D6E-409C-BE32-E72D297353CC}">
              <c16:uniqueId val="{00000001-2201-4DE9-8E92-2185DB86D809}"/>
            </c:ext>
          </c:extLst>
        </c:ser>
        <c:dLbls>
          <c:showLegendKey val="0"/>
          <c:showVal val="0"/>
          <c:showCatName val="0"/>
          <c:showSerName val="0"/>
          <c:showPercent val="0"/>
          <c:showBubbleSize val="0"/>
        </c:dLbls>
        <c:gapWidth val="20"/>
        <c:overlap val="100"/>
        <c:axId val="792268463"/>
        <c:axId val="792269423"/>
      </c:barChart>
      <c:barChart>
        <c:barDir val="col"/>
        <c:grouping val="clustered"/>
        <c:varyColors val="0"/>
        <c:ser>
          <c:idx val="2"/>
          <c:order val="2"/>
          <c:tx>
            <c:strRef>
              <c:f>'Capitola v1.0 r2 (PAVS)'!$H$71</c:f>
              <c:strCache>
                <c:ptCount val="1"/>
                <c:pt idx="0">
                  <c:v>Grand Total</c:v>
                </c:pt>
              </c:strCache>
            </c:strRef>
          </c:tx>
          <c:spPr>
            <a:noFill/>
            <a:ln>
              <a:noFill/>
            </a:ln>
            <a:effectLst/>
          </c:spPr>
          <c:invertIfNegative val="0"/>
          <c:dLbls>
            <c:numFmt formatCode="_(* #,##0.0_);_(* \(#,##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'Capitola v1.0 r2 (PAVS)'!$I$13:$AJ$13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 r2 (PAVS)'!$I$71:$AJ$71</c:f>
              <c:numCache>
                <c:formatCode>_(* 0.0_);_(* \(0.0\);_(* ""??_);_(@_)</c:formatCode>
                <c:ptCount val="14"/>
                <c:pt idx="0">
                  <c:v>0.5</c:v>
                </c:pt>
                <c:pt idx="1">
                  <c:v>0.7</c:v>
                </c:pt>
                <c:pt idx="2">
                  <c:v>1</c:v>
                </c:pt>
                <c:pt idx="3">
                  <c:v>1</c:v>
                </c:pt>
                <c:pt idx="4">
                  <c:v>1</c:v>
                </c:pt>
                <c:pt idx="5">
                  <c:v>2.5</c:v>
                </c:pt>
                <c:pt idx="6">
                  <c:v>13.6</c:v>
                </c:pt>
                <c:pt idx="7">
                  <c:v>20.2</c:v>
                </c:pt>
                <c:pt idx="8">
                  <c:v>28.7</c:v>
                </c:pt>
                <c:pt idx="9">
                  <c:v>30.1</c:v>
                </c:pt>
                <c:pt idx="10">
                  <c:v>29.6</c:v>
                </c:pt>
                <c:pt idx="11">
                  <c:v>22.6</c:v>
                </c:pt>
                <c:pt idx="12">
                  <c:v>16.200000000000003</c:v>
                </c:pt>
                <c:pt idx="13">
                  <c:v>14</c:v>
                </c:pt>
              </c:numCache>
            </c:numRef>
          </c:val>
          <c:extLst>
            <c:ext xmlns:c16="http://schemas.microsoft.com/office/drawing/2014/chart" uri="{C3380CC4-5D6E-409C-BE32-E72D297353CC}">
              <c16:uniqueId val="{00000002-2201-4DE9-8E92-2185DB86D809}"/>
            </c:ext>
          </c:extLst>
        </c:ser>
        <c:dLbls>
          <c:showLegendKey val="0"/>
          <c:showVal val="1"/>
          <c:showCatName val="0"/>
          <c:showSerName val="0"/>
          <c:showPercent val="0"/>
          <c:showBubbleSize val="0"/>
        </c:dLbls>
        <c:gapWidth val="20"/>
        <c:axId val="1027617248"/>
        <c:axId val="1027615808"/>
      </c:barChart>
      <c:catAx>
        <c:axId val="792268463"/>
        <c:scaling>
          <c:orientation val="minMax"/>
        </c:scaling>
        <c:delete val="1"/>
        <c:axPos val="b"/>
        <c:numFmt formatCode="General" sourceLinked="1"/>
        <c:majorTickMark val="none"/>
        <c:minorTickMark val="none"/>
        <c:tickLblPos val="nextTo"/>
        <c:crossAx val="792269423"/>
        <c:crosses val="autoZero"/>
        <c:auto val="1"/>
        <c:lblAlgn val="ctr"/>
        <c:lblOffset val="100"/>
        <c:noMultiLvlLbl val="0"/>
      </c:catAx>
      <c:valAx>
        <c:axId val="792269423"/>
        <c:scaling>
          <c:orientation val="minMax"/>
        </c:scaling>
        <c:delete val="1"/>
        <c:axPos val="l"/>
        <c:numFmt formatCode="_(* 0.0_);_(* \(0.0\);_(* &quot;&quot;??_);_(@_)" sourceLinked="1"/>
        <c:majorTickMark val="none"/>
        <c:minorTickMark val="none"/>
        <c:tickLblPos val="nextTo"/>
        <c:crossAx val="792268463"/>
        <c:crosses val="autoZero"/>
        <c:crossBetween val="between"/>
      </c:valAx>
      <c:valAx>
        <c:axId val="1027615808"/>
        <c:scaling>
          <c:orientation val="minMax"/>
        </c:scaling>
        <c:delete val="1"/>
        <c:axPos val="r"/>
        <c:numFmt formatCode="_(* 0.0_);_(* \(0.0\);_(* &quot;&quot;??_);_(@_)" sourceLinked="1"/>
        <c:majorTickMark val="out"/>
        <c:minorTickMark val="none"/>
        <c:tickLblPos val="nextTo"/>
        <c:crossAx val="1027617248"/>
        <c:crosses val="max"/>
        <c:crossBetween val="between"/>
      </c:valAx>
      <c:catAx>
        <c:axId val="1027617248"/>
        <c:scaling>
          <c:orientation val="minMax"/>
        </c:scaling>
        <c:delete val="1"/>
        <c:axPos val="b"/>
        <c:numFmt formatCode="General" sourceLinked="1"/>
        <c:majorTickMark val="out"/>
        <c:minorTickMark val="none"/>
        <c:tickLblPos val="nextTo"/>
        <c:crossAx val="1027615808"/>
        <c:crosses val="autoZero"/>
        <c:auto val="1"/>
        <c:lblAlgn val="ctr"/>
        <c:lblOffset val="100"/>
        <c:noMultiLvlLbl val="0"/>
      </c:catAx>
      <c:spPr>
        <a:noFill/>
        <a:ln>
          <a:solidFill>
            <a:sysClr val="windowText" lastClr="000000"/>
          </a:solidFill>
        </a:ln>
        <a:effectLst/>
      </c:spPr>
    </c:plotArea>
    <c:legend>
      <c:legendPos val="t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8</xdr:col>
      <xdr:colOff>0</xdr:colOff>
      <xdr:row>9</xdr:row>
      <xdr:rowOff>0</xdr:rowOff>
    </xdr:from>
    <xdr:to>
      <xdr:col>36</xdr:col>
      <xdr:colOff>0</xdr:colOff>
      <xdr:row>10</xdr:row>
      <xdr:rowOff>1682</xdr:rowOff>
    </xdr:to>
    <xdr:graphicFrame macro="">
      <xdr:nvGraphicFramePr>
        <xdr:cNvPr id="2" name="Chart 1">
          <a:extLst>
            <a:ext uri="{FF2B5EF4-FFF2-40B4-BE49-F238E27FC236}">
              <a16:creationId xmlns:a16="http://schemas.microsoft.com/office/drawing/2014/main" id="{B4750C2E-9BF8-4018-A046-6F874442E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9</xdr:row>
      <xdr:rowOff>0</xdr:rowOff>
    </xdr:from>
    <xdr:to>
      <xdr:col>36</xdr:col>
      <xdr:colOff>0</xdr:colOff>
      <xdr:row>10</xdr:row>
      <xdr:rowOff>1682</xdr:rowOff>
    </xdr:to>
    <xdr:graphicFrame macro="">
      <xdr:nvGraphicFramePr>
        <xdr:cNvPr id="2" name="Chart 1">
          <a:extLst>
            <a:ext uri="{FF2B5EF4-FFF2-40B4-BE49-F238E27FC236}">
              <a16:creationId xmlns:a16="http://schemas.microsoft.com/office/drawing/2014/main" id="{95B36320-2D3E-4D52-BF6A-2FD1969BB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9</xdr:row>
      <xdr:rowOff>0</xdr:rowOff>
    </xdr:from>
    <xdr:to>
      <xdr:col>36</xdr:col>
      <xdr:colOff>0</xdr:colOff>
      <xdr:row>10</xdr:row>
      <xdr:rowOff>1682</xdr:rowOff>
    </xdr:to>
    <xdr:graphicFrame macro="">
      <xdr:nvGraphicFramePr>
        <xdr:cNvPr id="2" name="Chart 1">
          <a:extLst>
            <a:ext uri="{FF2B5EF4-FFF2-40B4-BE49-F238E27FC236}">
              <a16:creationId xmlns:a16="http://schemas.microsoft.com/office/drawing/2014/main" id="{6C975311-D753-4AB9-8173-FAED08285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1495425</xdr:colOff>
      <xdr:row>0</xdr:row>
      <xdr:rowOff>542925</xdr:rowOff>
    </xdr:from>
    <xdr:to>
      <xdr:col>3</xdr:col>
      <xdr:colOff>562357</xdr:colOff>
      <xdr:row>0</xdr:row>
      <xdr:rowOff>2257664</xdr:rowOff>
    </xdr:to>
    <xdr:pic>
      <xdr:nvPicPr>
        <xdr:cNvPr id="8" name="Picture 7">
          <a:extLst>
            <a:ext uri="{FF2B5EF4-FFF2-40B4-BE49-F238E27FC236}">
              <a16:creationId xmlns:a16="http://schemas.microsoft.com/office/drawing/2014/main" id="{90F55018-7B0D-AA0F-A7C2-BF50C6FD61CE}"/>
            </a:ext>
          </a:extLst>
        </xdr:cNvPr>
        <xdr:cNvPicPr>
          <a:picLocks noChangeAspect="1"/>
        </xdr:cNvPicPr>
      </xdr:nvPicPr>
      <xdr:blipFill>
        <a:blip xmlns:r="http://schemas.openxmlformats.org/officeDocument/2006/relationships" r:embed="rId1"/>
        <a:stretch>
          <a:fillRect/>
        </a:stretch>
      </xdr:blipFill>
      <xdr:spPr>
        <a:xfrm>
          <a:off x="5886450" y="542925"/>
          <a:ext cx="2734057" cy="1714739"/>
        </a:xfrm>
        <a:prstGeom prst="rect">
          <a:avLst/>
        </a:prstGeom>
      </xdr:spPr>
    </xdr:pic>
    <xdr:clientData/>
  </xdr:twoCellAnchor>
  <xdr:twoCellAnchor>
    <xdr:from>
      <xdr:col>1</xdr:col>
      <xdr:colOff>3562350</xdr:colOff>
      <xdr:row>0</xdr:row>
      <xdr:rowOff>962025</xdr:rowOff>
    </xdr:from>
    <xdr:to>
      <xdr:col>2</xdr:col>
      <xdr:colOff>1285875</xdr:colOff>
      <xdr:row>0</xdr:row>
      <xdr:rowOff>2047875</xdr:rowOff>
    </xdr:to>
    <xdr:cxnSp macro="">
      <xdr:nvCxnSpPr>
        <xdr:cNvPr id="10" name="Connector: Elbow 9">
          <a:extLst>
            <a:ext uri="{FF2B5EF4-FFF2-40B4-BE49-F238E27FC236}">
              <a16:creationId xmlns:a16="http://schemas.microsoft.com/office/drawing/2014/main" id="{0778B0A5-14B9-929E-817D-209362D6C448}"/>
            </a:ext>
          </a:extLst>
        </xdr:cNvPr>
        <xdr:cNvCxnSpPr/>
      </xdr:nvCxnSpPr>
      <xdr:spPr>
        <a:xfrm>
          <a:off x="4057650" y="962025"/>
          <a:ext cx="1619250" cy="1085850"/>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114300</xdr:colOff>
      <xdr:row>3</xdr:row>
      <xdr:rowOff>57150</xdr:rowOff>
    </xdr:from>
    <xdr:to>
      <xdr:col>2</xdr:col>
      <xdr:colOff>2372040</xdr:colOff>
      <xdr:row>3</xdr:row>
      <xdr:rowOff>419151</xdr:rowOff>
    </xdr:to>
    <xdr:pic>
      <xdr:nvPicPr>
        <xdr:cNvPr id="2" name="Picture 1">
          <a:extLst>
            <a:ext uri="{FF2B5EF4-FFF2-40B4-BE49-F238E27FC236}">
              <a16:creationId xmlns:a16="http://schemas.microsoft.com/office/drawing/2014/main" id="{6B02A5ED-9910-4469-ABAE-56866651C64B}"/>
            </a:ext>
          </a:extLst>
        </xdr:cNvPr>
        <xdr:cNvPicPr>
          <a:picLocks noChangeAspect="1"/>
        </xdr:cNvPicPr>
      </xdr:nvPicPr>
      <xdr:blipFill>
        <a:blip xmlns:r="http://schemas.openxmlformats.org/officeDocument/2006/relationships" r:embed="rId1"/>
        <a:stretch>
          <a:fillRect/>
        </a:stretch>
      </xdr:blipFill>
      <xdr:spPr>
        <a:xfrm>
          <a:off x="4505325" y="3076575"/>
          <a:ext cx="2257740" cy="362001"/>
        </a:xfrm>
        <a:prstGeom prst="rect">
          <a:avLst/>
        </a:prstGeom>
      </xdr:spPr>
    </xdr:pic>
    <xdr:clientData/>
  </xdr:twoCellAnchor>
  <xdr:twoCellAnchor editAs="oneCell">
    <xdr:from>
      <xdr:col>2</xdr:col>
      <xdr:colOff>133350</xdr:colOff>
      <xdr:row>4</xdr:row>
      <xdr:rowOff>66675</xdr:rowOff>
    </xdr:from>
    <xdr:to>
      <xdr:col>2</xdr:col>
      <xdr:colOff>1600405</xdr:colOff>
      <xdr:row>4</xdr:row>
      <xdr:rowOff>409623</xdr:rowOff>
    </xdr:to>
    <xdr:pic>
      <xdr:nvPicPr>
        <xdr:cNvPr id="3" name="Picture 2">
          <a:extLst>
            <a:ext uri="{FF2B5EF4-FFF2-40B4-BE49-F238E27FC236}">
              <a16:creationId xmlns:a16="http://schemas.microsoft.com/office/drawing/2014/main" id="{B433B8B7-C1D4-4BA0-A5FB-28F213A7D35A}"/>
            </a:ext>
          </a:extLst>
        </xdr:cNvPr>
        <xdr:cNvPicPr>
          <a:picLocks noChangeAspect="1"/>
        </xdr:cNvPicPr>
      </xdr:nvPicPr>
      <xdr:blipFill>
        <a:blip xmlns:r="http://schemas.openxmlformats.org/officeDocument/2006/relationships" r:embed="rId2"/>
        <a:stretch>
          <a:fillRect/>
        </a:stretch>
      </xdr:blipFill>
      <xdr:spPr>
        <a:xfrm>
          <a:off x="4524375" y="3562350"/>
          <a:ext cx="1467055" cy="342948"/>
        </a:xfrm>
        <a:prstGeom prst="rect">
          <a:avLst/>
        </a:prstGeom>
      </xdr:spPr>
    </xdr:pic>
    <xdr:clientData/>
  </xdr:twoCellAnchor>
  <xdr:twoCellAnchor editAs="oneCell">
    <xdr:from>
      <xdr:col>2</xdr:col>
      <xdr:colOff>142875</xdr:colOff>
      <xdr:row>5</xdr:row>
      <xdr:rowOff>66676</xdr:rowOff>
    </xdr:from>
    <xdr:to>
      <xdr:col>2</xdr:col>
      <xdr:colOff>982980</xdr:colOff>
      <xdr:row>5</xdr:row>
      <xdr:rowOff>923926</xdr:rowOff>
    </xdr:to>
    <xdr:pic>
      <xdr:nvPicPr>
        <xdr:cNvPr id="4" name="Picture 3">
          <a:extLst>
            <a:ext uri="{FF2B5EF4-FFF2-40B4-BE49-F238E27FC236}">
              <a16:creationId xmlns:a16="http://schemas.microsoft.com/office/drawing/2014/main" id="{1C280AEB-CE79-4645-A579-1BAECD67C4FE}"/>
            </a:ext>
          </a:extLst>
        </xdr:cNvPr>
        <xdr:cNvPicPr>
          <a:picLocks noChangeAspect="1"/>
        </xdr:cNvPicPr>
      </xdr:nvPicPr>
      <xdr:blipFill>
        <a:blip xmlns:r="http://schemas.openxmlformats.org/officeDocument/2006/relationships" r:embed="rId3"/>
        <a:stretch>
          <a:fillRect/>
        </a:stretch>
      </xdr:blipFill>
      <xdr:spPr>
        <a:xfrm>
          <a:off x="4533900" y="4019551"/>
          <a:ext cx="840105" cy="857250"/>
        </a:xfrm>
        <a:prstGeom prst="rect">
          <a:avLst/>
        </a:prstGeom>
      </xdr:spPr>
    </xdr:pic>
    <xdr:clientData/>
  </xdr:twoCellAnchor>
  <xdr:twoCellAnchor editAs="oneCell">
    <xdr:from>
      <xdr:col>2</xdr:col>
      <xdr:colOff>57151</xdr:colOff>
      <xdr:row>6</xdr:row>
      <xdr:rowOff>57151</xdr:rowOff>
    </xdr:from>
    <xdr:to>
      <xdr:col>2</xdr:col>
      <xdr:colOff>3530517</xdr:colOff>
      <xdr:row>6</xdr:row>
      <xdr:rowOff>647701</xdr:rowOff>
    </xdr:to>
    <xdr:pic>
      <xdr:nvPicPr>
        <xdr:cNvPr id="5" name="Picture 4">
          <a:extLst>
            <a:ext uri="{FF2B5EF4-FFF2-40B4-BE49-F238E27FC236}">
              <a16:creationId xmlns:a16="http://schemas.microsoft.com/office/drawing/2014/main" id="{40AB5827-7852-4CDE-94D4-063D79D9DDF0}"/>
            </a:ext>
          </a:extLst>
        </xdr:cNvPr>
        <xdr:cNvPicPr>
          <a:picLocks noChangeAspect="1"/>
        </xdr:cNvPicPr>
      </xdr:nvPicPr>
      <xdr:blipFill>
        <a:blip xmlns:r="http://schemas.openxmlformats.org/officeDocument/2006/relationships" r:embed="rId4"/>
        <a:stretch>
          <a:fillRect/>
        </a:stretch>
      </xdr:blipFill>
      <xdr:spPr>
        <a:xfrm>
          <a:off x="4448176" y="4981576"/>
          <a:ext cx="3473366" cy="590550"/>
        </a:xfrm>
        <a:prstGeom prst="rect">
          <a:avLst/>
        </a:prstGeom>
      </xdr:spPr>
    </xdr:pic>
    <xdr:clientData/>
  </xdr:twoCellAnchor>
  <xdr:twoCellAnchor editAs="oneCell">
    <xdr:from>
      <xdr:col>2</xdr:col>
      <xdr:colOff>66675</xdr:colOff>
      <xdr:row>7</xdr:row>
      <xdr:rowOff>205501</xdr:rowOff>
    </xdr:from>
    <xdr:to>
      <xdr:col>2</xdr:col>
      <xdr:colOff>3600450</xdr:colOff>
      <xdr:row>7</xdr:row>
      <xdr:rowOff>669267</xdr:rowOff>
    </xdr:to>
    <xdr:pic>
      <xdr:nvPicPr>
        <xdr:cNvPr id="6" name="Picture 5">
          <a:extLst>
            <a:ext uri="{FF2B5EF4-FFF2-40B4-BE49-F238E27FC236}">
              <a16:creationId xmlns:a16="http://schemas.microsoft.com/office/drawing/2014/main" id="{2BDF3237-5866-4221-A8B9-574F310FAA68}"/>
            </a:ext>
          </a:extLst>
        </xdr:cNvPr>
        <xdr:cNvPicPr>
          <a:picLocks noChangeAspect="1"/>
        </xdr:cNvPicPr>
      </xdr:nvPicPr>
      <xdr:blipFill>
        <a:blip xmlns:r="http://schemas.openxmlformats.org/officeDocument/2006/relationships" r:embed="rId5"/>
        <a:stretch>
          <a:fillRect/>
        </a:stretch>
      </xdr:blipFill>
      <xdr:spPr>
        <a:xfrm>
          <a:off x="4457700" y="5815726"/>
          <a:ext cx="3533775" cy="463766"/>
        </a:xfrm>
        <a:prstGeom prst="rect">
          <a:avLst/>
        </a:prstGeom>
      </xdr:spPr>
    </xdr:pic>
    <xdr:clientData/>
  </xdr:twoCellAnchor>
  <xdr:twoCellAnchor editAs="oneCell">
    <xdr:from>
      <xdr:col>2</xdr:col>
      <xdr:colOff>285750</xdr:colOff>
      <xdr:row>7</xdr:row>
      <xdr:rowOff>783779</xdr:rowOff>
    </xdr:from>
    <xdr:to>
      <xdr:col>2</xdr:col>
      <xdr:colOff>3305648</xdr:colOff>
      <xdr:row>7</xdr:row>
      <xdr:rowOff>1038265</xdr:rowOff>
    </xdr:to>
    <xdr:pic>
      <xdr:nvPicPr>
        <xdr:cNvPr id="7" name="Picture 6">
          <a:extLst>
            <a:ext uri="{FF2B5EF4-FFF2-40B4-BE49-F238E27FC236}">
              <a16:creationId xmlns:a16="http://schemas.microsoft.com/office/drawing/2014/main" id="{7525F2EE-4BFA-42FF-957A-9BBDB50C46BE}"/>
            </a:ext>
          </a:extLst>
        </xdr:cNvPr>
        <xdr:cNvPicPr>
          <a:picLocks noChangeAspect="1"/>
        </xdr:cNvPicPr>
      </xdr:nvPicPr>
      <xdr:blipFill>
        <a:blip xmlns:r="http://schemas.openxmlformats.org/officeDocument/2006/relationships" r:embed="rId6"/>
        <a:stretch>
          <a:fillRect/>
        </a:stretch>
      </xdr:blipFill>
      <xdr:spPr>
        <a:xfrm>
          <a:off x="4676775" y="6394004"/>
          <a:ext cx="3019898" cy="2544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685800</xdr:colOff>
      <xdr:row>40</xdr:row>
      <xdr:rowOff>85725</xdr:rowOff>
    </xdr:from>
    <xdr:to>
      <xdr:col>14</xdr:col>
      <xdr:colOff>95250</xdr:colOff>
      <xdr:row>43</xdr:row>
      <xdr:rowOff>76200</xdr:rowOff>
    </xdr:to>
    <xdr:cxnSp macro="">
      <xdr:nvCxnSpPr>
        <xdr:cNvPr id="4" name="Straight Arrow Connector 3">
          <a:extLst>
            <a:ext uri="{FF2B5EF4-FFF2-40B4-BE49-F238E27FC236}">
              <a16:creationId xmlns:a16="http://schemas.microsoft.com/office/drawing/2014/main" id="{8BED5745-B867-92F4-47E8-894D2824CEF6}"/>
            </a:ext>
          </a:extLst>
        </xdr:cNvPr>
        <xdr:cNvCxnSpPr/>
      </xdr:nvCxnSpPr>
      <xdr:spPr>
        <a:xfrm flipH="1" flipV="1">
          <a:off x="11591925" y="7705725"/>
          <a:ext cx="1114425" cy="56197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wpmo.amd.com/WebPMO/sites/PMO/Internal/Allocation%20File%20Owners.xlsx" TargetMode="External"/><Relationship Id="rId1" Type="http://schemas.openxmlformats.org/officeDocument/2006/relationships/externalLinkPath" Target="https://swpmo.amd.com/WebPMO/sites/PMO/Internal/Allocation%20File%20Owner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wpmo.amd.com/WebPMO/sites/PMO/Internal/Top%20Level%20Leaders%20tracker.xlsx" TargetMode="External"/><Relationship Id="rId1" Type="http://schemas.openxmlformats.org/officeDocument/2006/relationships/externalLinkPath" Target="https://swpmo.amd.com/WebPMO/sites/PMO/Internal/Top%20Level%20Leaders%20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active Alloc_Files"/>
      <sheetName val="Active Alloc_Files"/>
      <sheetName val="Project Center 2021.02.02"/>
      <sheetName val="Project Server List_2020.11.10"/>
      <sheetName val="Project Center 2020.12.17"/>
      <sheetName val="email of allocation file owners"/>
    </sheetNames>
    <sheetDataSet>
      <sheetData sheetId="0" refreshError="1"/>
      <sheetData sheetId="1">
        <row r="1">
          <cell r="A1" t="str">
            <v xml:space="preserve">Updated: </v>
          </cell>
        </row>
        <row r="3">
          <cell r="A3" t="str">
            <v>alloc_Adv Rendering Research</v>
          </cell>
          <cell r="H3" t="str">
            <v>AlexA</v>
          </cell>
        </row>
        <row r="4">
          <cell r="A4" t="str">
            <v>alloc_BTSR</v>
          </cell>
          <cell r="H4" t="str">
            <v>Chris</v>
          </cell>
        </row>
        <row r="5">
          <cell r="A5" t="str">
            <v>alloc_CE Markham</v>
          </cell>
          <cell r="H5" t="str">
            <v>Matthias</v>
          </cell>
        </row>
        <row r="6">
          <cell r="A6" t="str">
            <v>alloc_CG 3D Performance</v>
          </cell>
          <cell r="H6" t="str">
            <v>Rodney</v>
          </cell>
        </row>
        <row r="7">
          <cell r="A7" t="str">
            <v>alloc_CG 3D Staff</v>
          </cell>
          <cell r="H7" t="str">
            <v>Rodney</v>
          </cell>
        </row>
        <row r="8">
          <cell r="A8" t="str">
            <v>alloc_CG 3D Tools</v>
          </cell>
          <cell r="H8" t="str">
            <v>Rodney</v>
          </cell>
        </row>
        <row r="9">
          <cell r="A9" t="str">
            <v>alloc_CG PAL</v>
          </cell>
          <cell r="H9" t="str">
            <v>Rodney</v>
          </cell>
        </row>
        <row r="10">
          <cell r="A10" t="str">
            <v>alloc_CG ShaderCompiler</v>
          </cell>
          <cell r="H10" t="str">
            <v>Rodney</v>
          </cell>
        </row>
        <row r="11">
          <cell r="A11" t="str">
            <v>alloc_CP</v>
          </cell>
          <cell r="H11" t="str">
            <v>Chris</v>
          </cell>
        </row>
        <row r="12">
          <cell r="A12" t="str">
            <v>alloc_CSE_CEPM</v>
          </cell>
          <cell r="H12" t="str">
            <v>Matthias</v>
          </cell>
        </row>
        <row r="13">
          <cell r="A13" t="str">
            <v>alloc_CSE_CoreSW</v>
          </cell>
          <cell r="H13" t="str">
            <v>Matthias</v>
          </cell>
        </row>
        <row r="14">
          <cell r="A14" t="str">
            <v>alloc_CSE_CPMCN</v>
          </cell>
          <cell r="H14" t="str">
            <v>Matthias</v>
          </cell>
        </row>
        <row r="15">
          <cell r="A15" t="str">
            <v>alloc_CSE_CPMTW</v>
          </cell>
          <cell r="H15" t="str">
            <v>Matthias</v>
          </cell>
        </row>
        <row r="16">
          <cell r="A16" t="str">
            <v>alloc_CSE_Management</v>
          </cell>
          <cell r="H16" t="str">
            <v>Matthias</v>
          </cell>
        </row>
        <row r="17">
          <cell r="A17" t="str">
            <v>alloc_CSE_Strategic</v>
          </cell>
          <cell r="H17" t="str">
            <v>Matthias</v>
          </cell>
        </row>
        <row r="18">
          <cell r="A18" t="str">
            <v>alloc_CSE_SWAE</v>
          </cell>
          <cell r="H18" t="str">
            <v>Matthias</v>
          </cell>
        </row>
        <row r="19">
          <cell r="A19" t="str">
            <v>alloc_CSE_TL</v>
          </cell>
          <cell r="H19" t="str">
            <v>Matthias</v>
          </cell>
        </row>
        <row r="20">
          <cell r="A20" t="str">
            <v>alloc_D3D</v>
          </cell>
          <cell r="H20" t="str">
            <v>Rodney</v>
          </cell>
        </row>
        <row r="21">
          <cell r="A21" t="str">
            <v>alloc_D3D QE IND</v>
          </cell>
          <cell r="H21" t="str">
            <v>Rodney</v>
          </cell>
        </row>
        <row r="22">
          <cell r="A22" t="str">
            <v>alloc_devtools</v>
          </cell>
          <cell r="H22" t="str">
            <v>Caixia</v>
          </cell>
        </row>
        <row r="23">
          <cell r="A23" t="str">
            <v>alloc_Display Solution_AlexS</v>
          </cell>
          <cell r="H23" t="str">
            <v>Syed</v>
          </cell>
        </row>
        <row r="24">
          <cell r="A24" t="str">
            <v>alloc_Display Solution_CharlieW</v>
          </cell>
          <cell r="H24" t="str">
            <v>Syed</v>
          </cell>
        </row>
        <row r="25">
          <cell r="A25" t="str">
            <v>alloc_Display Solution_EricC</v>
          </cell>
          <cell r="H25" t="str">
            <v>Syed</v>
          </cell>
        </row>
        <row r="26">
          <cell r="A26" t="str">
            <v>alloc_Display Solution_JagM</v>
          </cell>
          <cell r="H26" t="str">
            <v>Syed</v>
          </cell>
        </row>
        <row r="27">
          <cell r="A27" t="str">
            <v>alloc_Display Solution_MazenS</v>
          </cell>
          <cell r="H27" t="str">
            <v>Syed</v>
          </cell>
        </row>
        <row r="28">
          <cell r="A28" t="str">
            <v>alloc_Display Solution_MichaelV</v>
          </cell>
          <cell r="H28" t="str">
            <v>Syed</v>
          </cell>
        </row>
        <row r="29">
          <cell r="A29" t="str">
            <v>alloc_Display Solution_NikolaC</v>
          </cell>
          <cell r="H29" t="str">
            <v>Syed</v>
          </cell>
        </row>
        <row r="30">
          <cell r="A30" t="str">
            <v>alloc_Display_MM_VP_Direct Reports</v>
          </cell>
          <cell r="H30" t="str">
            <v>Syed</v>
          </cell>
        </row>
        <row r="31">
          <cell r="A31" t="str">
            <v>alloc_Gaming_Engineering</v>
          </cell>
          <cell r="H31" t="str">
            <v>Syed</v>
          </cell>
        </row>
        <row r="32">
          <cell r="A32" t="str">
            <v>alloc_Media Tech Solutions</v>
          </cell>
        </row>
        <row r="33">
          <cell r="A33" t="str">
            <v>alloc_MLS_Linux_1</v>
          </cell>
          <cell r="H33" t="str">
            <v>Chris</v>
          </cell>
        </row>
        <row r="34">
          <cell r="A34" t="str">
            <v>alloc_MLS_Linux_2</v>
          </cell>
          <cell r="H34" t="str">
            <v>Chris</v>
          </cell>
        </row>
        <row r="35">
          <cell r="A35" t="str">
            <v>alloc_MLS_Linux_3</v>
          </cell>
          <cell r="H35" t="str">
            <v>Chris</v>
          </cell>
        </row>
        <row r="36">
          <cell r="A36" t="str">
            <v>alloc_MLS_Linux_4</v>
          </cell>
          <cell r="H36" t="str">
            <v>Chris</v>
          </cell>
        </row>
        <row r="37">
          <cell r="A37" t="str">
            <v>alloc_mmdrivers_video_encode</v>
          </cell>
          <cell r="H37" t="str">
            <v>Syed</v>
          </cell>
        </row>
        <row r="38">
          <cell r="A38" t="str">
            <v>alloc_mmdrivers_video_playback_pipelines</v>
          </cell>
          <cell r="H38" t="str">
            <v>Syed</v>
          </cell>
        </row>
        <row r="39">
          <cell r="A39" t="str">
            <v>alloc_Khronos3D_Asia</v>
          </cell>
          <cell r="H39" t="str">
            <v>Rodney</v>
          </cell>
        </row>
        <row r="40">
          <cell r="A40" t="str">
            <v>alloc_Khronos3D_NA_EU</v>
          </cell>
          <cell r="H40" t="str">
            <v>Rodney</v>
          </cell>
        </row>
        <row r="41">
          <cell r="A41" t="str">
            <v>alloc_openglCQE_indiaHyd</v>
          </cell>
          <cell r="H41" t="str">
            <v>Rodney</v>
          </cell>
        </row>
        <row r="42">
          <cell r="A42" t="str">
            <v>alloc_OS_MUL_Security_Kernel_BLR</v>
          </cell>
          <cell r="H42" t="str">
            <v>Chris</v>
          </cell>
        </row>
        <row r="43">
          <cell r="A43" t="str">
            <v>alloc_PFO_PM_Arch</v>
          </cell>
          <cell r="H43" t="str">
            <v>Chris</v>
          </cell>
        </row>
        <row r="44">
          <cell r="A44" t="str">
            <v>alloc_PMFW</v>
          </cell>
          <cell r="H44" t="str">
            <v>Chris</v>
          </cell>
        </row>
        <row r="45">
          <cell r="A45" t="str">
            <v>alloc_PMO Common_BrianW</v>
          </cell>
          <cell r="H45" t="str">
            <v>Matthias</v>
          </cell>
        </row>
        <row r="46">
          <cell r="A46" t="str">
            <v>alloc_PMO Common_PaulM</v>
          </cell>
          <cell r="H46" t="str">
            <v>Matthias</v>
          </cell>
        </row>
        <row r="47">
          <cell r="A47" t="str">
            <v>alloc_PMO Common_SharmilyB</v>
          </cell>
          <cell r="H47" t="str">
            <v>Matthias</v>
          </cell>
        </row>
        <row r="48">
          <cell r="A48" t="str">
            <v>alloc_PMO Common_VithalP</v>
          </cell>
          <cell r="H48" t="str">
            <v>Matthias</v>
          </cell>
        </row>
        <row r="49">
          <cell r="A49" t="str">
            <v>alloc_PPL_ATG</v>
          </cell>
          <cell r="H49" t="str">
            <v>Chris</v>
          </cell>
        </row>
        <row r="50">
          <cell r="A50" t="str">
            <v>alloc_PPL_Virtualization</v>
          </cell>
          <cell r="H50" t="str">
            <v>Chris</v>
          </cell>
        </row>
        <row r="51">
          <cell r="A51" t="str">
            <v>alloc_Product Security</v>
          </cell>
          <cell r="H51" t="str">
            <v>Hugo</v>
          </cell>
        </row>
        <row r="52">
          <cell r="A52" t="str">
            <v>alloc_Program Management_JonB</v>
          </cell>
          <cell r="H52" t="str">
            <v>Matthias</v>
          </cell>
        </row>
        <row r="53">
          <cell r="A53" t="str">
            <v>alloc_Program Management_SW Client and NOI</v>
          </cell>
          <cell r="H53" t="str">
            <v>Matthias</v>
          </cell>
        </row>
        <row r="54">
          <cell r="A54" t="str">
            <v>alloc_Program Management_VioF</v>
          </cell>
          <cell r="H54" t="str">
            <v>Matthias</v>
          </cell>
        </row>
        <row r="55">
          <cell r="A55" t="str">
            <v>alloc_Program Management_StefanT</v>
          </cell>
          <cell r="H55" t="str">
            <v>Matthias</v>
          </cell>
        </row>
        <row r="56">
          <cell r="A56" t="str">
            <v>alloc_Program Management_AlejandroR</v>
          </cell>
          <cell r="H56" t="str">
            <v>Matthias</v>
          </cell>
        </row>
        <row r="57">
          <cell r="A57" t="str">
            <v>alloc_Program Management_DerekY</v>
          </cell>
          <cell r="H57" t="str">
            <v>Matthias</v>
          </cell>
        </row>
        <row r="58">
          <cell r="A58" t="str">
            <v>alloc_PSPSecurity_MKM</v>
          </cell>
          <cell r="H58" t="str">
            <v>Chris</v>
          </cell>
        </row>
        <row r="59">
          <cell r="A59" t="str">
            <v>alloc_RLC</v>
          </cell>
          <cell r="H59" t="str">
            <v>Chris</v>
          </cell>
        </row>
        <row r="60">
          <cell r="A60" t="str">
            <v>alloc_Software Technologies</v>
          </cell>
          <cell r="H60" t="str">
            <v>Jeffrey</v>
          </cell>
        </row>
        <row r="61">
          <cell r="A61" t="str">
            <v>alloc_SPIO</v>
          </cell>
          <cell r="H61" t="str">
            <v>Chris</v>
          </cell>
        </row>
        <row r="62">
          <cell r="A62" t="str">
            <v>alloc_SQA Client APU</v>
          </cell>
          <cell r="H62" t="str">
            <v>Stephen</v>
          </cell>
        </row>
        <row r="63">
          <cell r="A63" t="str">
            <v>alloc_SQA Core and Common Services</v>
          </cell>
          <cell r="H63" t="str">
            <v>Stephen</v>
          </cell>
        </row>
        <row r="64">
          <cell r="A64" t="str">
            <v>alloc_SQA GW dGPU</v>
          </cell>
          <cell r="H64" t="str">
            <v>Stephen</v>
          </cell>
        </row>
        <row r="65">
          <cell r="A65" t="str">
            <v>alloc_SQA Product Support and Enablement</v>
          </cell>
          <cell r="H65" t="str">
            <v>Stephen</v>
          </cell>
        </row>
        <row r="66">
          <cell r="A66" t="str">
            <v>alloc_SQA Solutions</v>
          </cell>
          <cell r="H66" t="str">
            <v>Stephen</v>
          </cell>
        </row>
        <row r="67">
          <cell r="A67" t="str">
            <v>alloc_SQA CVSAI</v>
          </cell>
          <cell r="H67" t="str">
            <v>Stephen</v>
          </cell>
        </row>
        <row r="68">
          <cell r="A68" t="str">
            <v>alloc_SWDEV_HYD_MM_Audio_NonWin</v>
          </cell>
          <cell r="H68" t="str">
            <v>Syed</v>
          </cell>
        </row>
        <row r="69">
          <cell r="A69" t="str">
            <v>alloc_SWDEV_HYD_MM_Audio_Win</v>
          </cell>
          <cell r="H69" t="str">
            <v>Syed</v>
          </cell>
        </row>
        <row r="70">
          <cell r="A70" t="str">
            <v>alloc_SWDEV_HYD_MM_Video</v>
          </cell>
          <cell r="H70" t="str">
            <v>Syed</v>
          </cell>
        </row>
        <row r="71">
          <cell r="A71" t="str">
            <v>alloc_SWInfra_IND</v>
          </cell>
          <cell r="H71" t="str">
            <v>Stephen</v>
          </cell>
        </row>
        <row r="72">
          <cell r="A72" t="str">
            <v>alloc_swinfra_na</v>
          </cell>
          <cell r="H72" t="str">
            <v>Stephen</v>
          </cell>
        </row>
        <row r="73">
          <cell r="A73" t="str">
            <v>alloc_swrelman</v>
          </cell>
          <cell r="H73" t="str">
            <v>Stephen</v>
          </cell>
        </row>
        <row r="74">
          <cell r="A74" t="str">
            <v>alloc_ux</v>
          </cell>
          <cell r="H74" t="str">
            <v>Terry</v>
          </cell>
        </row>
        <row r="75">
          <cell r="A75" t="str">
            <v>alloc_VBL</v>
          </cell>
          <cell r="H75" t="str">
            <v>Chris</v>
          </cell>
        </row>
        <row r="76">
          <cell r="A76" t="str">
            <v>alloc_VPs_DirectReports</v>
          </cell>
          <cell r="H76" t="str">
            <v>Chris</v>
          </cell>
        </row>
        <row r="77">
          <cell r="A77" t="str">
            <v>alloc_WSPG_BG_KMD_CORE</v>
          </cell>
          <cell r="H77" t="str">
            <v>Chris</v>
          </cell>
        </row>
        <row r="78">
          <cell r="A78" t="str">
            <v>alloc_WSPG_BG_KMD_Hyderabad</v>
          </cell>
          <cell r="H78" t="str">
            <v>Chris</v>
          </cell>
        </row>
        <row r="79">
          <cell r="A79" t="str">
            <v>alloc_WSPG_BG_KMD_Solutions_CAN</v>
          </cell>
          <cell r="H79" t="str">
            <v>Chris</v>
          </cell>
        </row>
        <row r="80">
          <cell r="A80" t="str">
            <v>alloc_WSPG_BG_KMD_SRDC</v>
          </cell>
          <cell r="H80" t="str">
            <v>Chris</v>
          </cell>
        </row>
        <row r="81">
          <cell r="A81" t="str">
            <v>alloc_WSPG_BG_Leadership</v>
          </cell>
          <cell r="H81" t="str">
            <v>Chris</v>
          </cell>
        </row>
        <row r="82">
          <cell r="A82" t="str">
            <v>alloc_WSPG_BG_System and Power</v>
          </cell>
          <cell r="H82" t="str">
            <v>Chris</v>
          </cell>
        </row>
        <row r="83">
          <cell r="A83" t="str">
            <v>alloc_WSPG_BG_Test and Tools</v>
          </cell>
          <cell r="H83" t="str">
            <v>Chris</v>
          </cell>
        </row>
        <row r="84">
          <cell r="A84" t="str">
            <v>alloc_WSPG_MsftInterface</v>
          </cell>
          <cell r="H84" t="str">
            <v>Chris</v>
          </cell>
        </row>
        <row r="85">
          <cell r="A85" t="str">
            <v>alloc_WSPG_PM_TL</v>
          </cell>
          <cell r="H85" t="str">
            <v>Chris</v>
          </cell>
        </row>
        <row r="86">
          <cell r="A86" t="str">
            <v>alloc_WSPG_QE_Core</v>
          </cell>
          <cell r="H86" t="str">
            <v>Chris</v>
          </cell>
        </row>
        <row r="87">
          <cell r="A87" t="str">
            <v>alloc_WSPG_QE_HYD</v>
          </cell>
          <cell r="H87" t="str">
            <v>Chris</v>
          </cell>
        </row>
        <row r="88">
          <cell r="A88" t="str">
            <v>alloc_WSPG_QE_MKM</v>
          </cell>
          <cell r="H88" t="str">
            <v>Chris</v>
          </cell>
        </row>
        <row r="89">
          <cell r="A89" t="str">
            <v>alloc_WSPG_QE_SRDC</v>
          </cell>
          <cell r="H89" t="str">
            <v>Chris</v>
          </cell>
        </row>
        <row r="90">
          <cell r="A90" t="str">
            <v>alloc_WSPG_QE_Stability_NTI</v>
          </cell>
          <cell r="H90" t="str">
            <v>Chris</v>
          </cell>
        </row>
        <row r="91">
          <cell r="A91" t="str">
            <v>alloc_WSPG_QE_TnD_NOI</v>
          </cell>
          <cell r="H91" t="str">
            <v>Chris</v>
          </cell>
        </row>
        <row r="92">
          <cell r="A92" t="str">
            <v>alloc_Program Management_ReyE</v>
          </cell>
          <cell r="H92" t="str">
            <v>Matthias</v>
          </cell>
        </row>
        <row r="93">
          <cell r="A93" t="str">
            <v>alloc_Platform SW Arch</v>
          </cell>
          <cell r="H93" t="str">
            <v>Chris</v>
          </cell>
        </row>
        <row r="94">
          <cell r="A94" t="str">
            <v>alloc_Display Solution_VladmirVelenta</v>
          </cell>
          <cell r="H94" t="str">
            <v>Syed</v>
          </cell>
        </row>
        <row r="95">
          <cell r="A95" t="str">
            <v>alloc_CG 3D Drivers and Compilers</v>
          </cell>
          <cell r="H95" t="str">
            <v>Chris</v>
          </cell>
        </row>
        <row r="96">
          <cell r="A96" t="str">
            <v>alloc_CG 3D Architect</v>
          </cell>
          <cell r="H96" t="str">
            <v>Rodney</v>
          </cell>
        </row>
        <row r="97">
          <cell r="A97" t="str">
            <v>alloc_PMO_Test</v>
          </cell>
          <cell r="H97" t="str">
            <v>Rodney</v>
          </cell>
        </row>
        <row r="98">
          <cell r="A98" t="str">
            <v>alloc_PMO_Test</v>
          </cell>
        </row>
        <row r="99">
          <cell r="A99" t="str">
            <v>alloc_Template</v>
          </cell>
        </row>
        <row r="100">
          <cell r="A100" t="str">
            <v>alloc_Display_MM_VP_Direct Reports</v>
          </cell>
        </row>
      </sheetData>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2 All Entries"/>
      <sheetName val="Directors"/>
      <sheetName val="Top Level Leaders tracker"/>
    </sheetNames>
    <sheetDataSet>
      <sheetData sheetId="0"/>
      <sheetData sheetId="1">
        <row r="1">
          <cell r="F1"/>
        </row>
        <row r="2">
          <cell r="B2" t="str">
            <v>Top-Level Team Name</v>
          </cell>
          <cell r="J2" t="str">
            <v>CVP</v>
          </cell>
        </row>
        <row r="3">
          <cell r="B3" t="str">
            <v>SPG_Operations</v>
          </cell>
          <cell r="J3" t="str">
            <v>Matthias</v>
          </cell>
        </row>
        <row r="4">
          <cell r="B4" t="str">
            <v>SPG_Customer Eng</v>
          </cell>
          <cell r="J4" t="str">
            <v>Matthias</v>
          </cell>
        </row>
        <row r="5">
          <cell r="B5" t="str">
            <v>SPG_SSE Infrastructure</v>
          </cell>
          <cell r="J5" t="str">
            <v>Stephen</v>
          </cell>
        </row>
        <row r="6">
          <cell r="B6" t="str">
            <v>SPG_SSE QA</v>
          </cell>
          <cell r="J6" t="str">
            <v>Stephen</v>
          </cell>
        </row>
        <row r="7">
          <cell r="B7" t="str">
            <v>SPG_SSE RM</v>
          </cell>
          <cell r="J7" t="str">
            <v>Stephen</v>
          </cell>
        </row>
        <row r="8">
          <cell r="B8" t="str">
            <v>SPG_Display NPI</v>
          </cell>
          <cell r="J8" t="str">
            <v>Syed</v>
          </cell>
        </row>
        <row r="9">
          <cell r="B9" t="str">
            <v>SPG_VPE &amp; DisplayNTI</v>
          </cell>
          <cell r="J9" t="str">
            <v>Syed</v>
          </cell>
        </row>
        <row r="10">
          <cell r="B10" t="str">
            <v>SPG_MM Video NPI</v>
          </cell>
          <cell r="J10" t="str">
            <v>Syed</v>
          </cell>
        </row>
        <row r="11">
          <cell r="B11" t="str">
            <v>SPG_MM Video NTI</v>
          </cell>
          <cell r="J11" t="str">
            <v>Syed</v>
          </cell>
        </row>
        <row r="12">
          <cell r="B12" t="str">
            <v>SPG_MM Audio</v>
          </cell>
          <cell r="J12" t="str">
            <v>Syed</v>
          </cell>
        </row>
        <row r="13">
          <cell r="B13" t="str">
            <v>SPG_HYD Graphics CQE</v>
          </cell>
          <cell r="J13" t="str">
            <v>Rodney</v>
          </cell>
        </row>
        <row r="14">
          <cell r="B14" t="str">
            <v>SPG_3D_Perf_Arch</v>
          </cell>
          <cell r="J14" t="str">
            <v>Rodney</v>
          </cell>
        </row>
        <row r="15">
          <cell r="B15" t="str">
            <v>SPG_Khronos3D</v>
          </cell>
          <cell r="J15" t="str">
            <v>Rodney</v>
          </cell>
        </row>
        <row r="16">
          <cell r="B16" t="str">
            <v>SPG_PAL</v>
          </cell>
          <cell r="J16" t="str">
            <v>Rodney</v>
          </cell>
        </row>
        <row r="17">
          <cell r="B17" t="str">
            <v>SPG_D3D</v>
          </cell>
          <cell r="J17" t="str">
            <v>Rodney</v>
          </cell>
        </row>
        <row r="18">
          <cell r="B18" t="str">
            <v>SPG_Mac 3D</v>
          </cell>
          <cell r="J18" t="str">
            <v>Rodney</v>
          </cell>
        </row>
        <row r="19">
          <cell r="B19" t="str">
            <v>SPG_ShaderCompiler</v>
          </cell>
          <cell r="J19" t="str">
            <v>Rodney</v>
          </cell>
        </row>
        <row r="20">
          <cell r="B20" t="str">
            <v>SPG_Roadmap Installer User Experience</v>
          </cell>
          <cell r="J20" t="str">
            <v>Terry</v>
          </cell>
        </row>
        <row r="21">
          <cell r="B21" t="str">
            <v>SPG_Mac Platform</v>
          </cell>
          <cell r="J21" t="str">
            <v>Matthias</v>
          </cell>
        </row>
        <row r="22">
          <cell r="B22" t="str">
            <v>SPG_DevEng</v>
          </cell>
          <cell r="J22" t="str">
            <v>CarlosS</v>
          </cell>
        </row>
        <row r="23">
          <cell r="B23" t="str">
            <v>SPG_SPIO</v>
          </cell>
          <cell r="J23" t="str">
            <v>Chris</v>
          </cell>
        </row>
        <row r="24">
          <cell r="B24" t="str">
            <v>SPG_PMFW</v>
          </cell>
          <cell r="J24" t="str">
            <v>Chris</v>
          </cell>
        </row>
        <row r="25">
          <cell r="B25" t="str">
            <v>SPG_VBIOS RLC</v>
          </cell>
          <cell r="J25" t="str">
            <v>Chris</v>
          </cell>
        </row>
        <row r="26">
          <cell r="B26" t="str">
            <v>SPG_VBIOS CP</v>
          </cell>
          <cell r="J26" t="str">
            <v>Chris</v>
          </cell>
        </row>
        <row r="27">
          <cell r="B27" t="str">
            <v>SPG_VBIOS VBL</v>
          </cell>
          <cell r="J27" t="str">
            <v>Chris</v>
          </cell>
        </row>
        <row r="28">
          <cell r="B28" t="str">
            <v>SPG_VBIOS</v>
          </cell>
          <cell r="J28"/>
        </row>
        <row r="29">
          <cell r="B29" t="str">
            <v>SPG_Platform Virtualization</v>
          </cell>
          <cell r="J29" t="str">
            <v>Chris</v>
          </cell>
        </row>
        <row r="30">
          <cell r="B30" t="str">
            <v>SPG_FWProgMgmt</v>
          </cell>
          <cell r="J30" t="str">
            <v>Chris</v>
          </cell>
        </row>
        <row r="31">
          <cell r="B31" t="str">
            <v>SPG_Architecture and Sys IP</v>
          </cell>
          <cell r="J31"/>
        </row>
        <row r="32">
          <cell r="B32" t="str">
            <v>SPG_Platform Security</v>
          </cell>
          <cell r="J32" t="str">
            <v>Chris</v>
          </cell>
        </row>
        <row r="33">
          <cell r="B33" t="str">
            <v>SPG_Platform Windows</v>
          </cell>
          <cell r="J33" t="str">
            <v>Chris</v>
          </cell>
        </row>
        <row r="34">
          <cell r="B34" t="str">
            <v>SPG_Platform_Linux</v>
          </cell>
          <cell r="J34" t="str">
            <v>Chris</v>
          </cell>
        </row>
        <row r="35">
          <cell r="B35" t="str">
            <v>SPG_Platform SW Arch</v>
          </cell>
          <cell r="J35" t="str">
            <v>Chris</v>
          </cell>
        </row>
        <row r="36">
          <cell r="B36" t="str">
            <v>SPG_ADV Technology</v>
          </cell>
          <cell r="J36" t="str">
            <v>Chris</v>
          </cell>
        </row>
        <row r="37">
          <cell r="B37" t="str">
            <v>SPG_Security</v>
          </cell>
          <cell r="J37" t="str">
            <v>Hugo</v>
          </cell>
        </row>
        <row r="38">
          <cell r="B38" t="str">
            <v>SPG_VP and Direct Reports</v>
          </cell>
          <cell r="J38" t="str">
            <v>AndrejZ</v>
          </cell>
        </row>
        <row r="39">
          <cell r="B39" t="str">
            <v>SPG_CSE_FirstPartner</v>
          </cell>
          <cell r="J39"/>
        </row>
        <row r="40">
          <cell r="B40" t="str">
            <v>SPG_CSE_FirstPartner_Mantis_PLE</v>
          </cell>
          <cell r="J40"/>
        </row>
        <row r="41">
          <cell r="B41" t="str">
            <v>SPG_CSE_FirstPartner_Customer Engineering</v>
          </cell>
          <cell r="J41" t="str">
            <v>Matthias</v>
          </cell>
        </row>
        <row r="42">
          <cell r="B42" t="str">
            <v>SPG_CSE_FirstPartner_FAST</v>
          </cell>
          <cell r="J42" t="str">
            <v>Matthias</v>
          </cell>
        </row>
        <row r="43">
          <cell r="B43" t="str">
            <v>SPG_3D_Tooling</v>
          </cell>
          <cell r="J43" t="str">
            <v>Rodney</v>
          </cell>
        </row>
        <row r="44">
          <cell r="B44" t="str">
            <v>SPG_SW Technology</v>
          </cell>
          <cell r="J44" t="str">
            <v>Jeffrey</v>
          </cell>
        </row>
        <row r="45">
          <cell r="B45" t="str">
            <v>SPG_SW_ProgramManagers</v>
          </cell>
          <cell r="J45" t="str">
            <v>Matthias</v>
          </cell>
        </row>
        <row r="46">
          <cell r="B46" t="str">
            <v>SPG_3D_ArchNPIPM</v>
          </cell>
          <cell r="J46" t="str">
            <v>Rodney</v>
          </cell>
        </row>
        <row r="47">
          <cell r="B47" t="str">
            <v>SPG_3D_CQE</v>
          </cell>
          <cell r="J47" t="str">
            <v>Rodney</v>
          </cell>
        </row>
        <row r="48">
          <cell r="B48" t="str">
            <v>SPG_3D_PerfML</v>
          </cell>
          <cell r="J48" t="str">
            <v>Rodney</v>
          </cell>
        </row>
        <row r="49">
          <cell r="B49" t="str">
            <v>MLS_Architects</v>
          </cell>
          <cell r="J49"/>
        </row>
        <row r="50">
          <cell r="B50" t="str">
            <v>MLS_Computer Vision</v>
          </cell>
          <cell r="J50"/>
        </row>
        <row r="51">
          <cell r="B51" t="str">
            <v>MLS_Frameworks_MIOpen_MIGraphX</v>
          </cell>
          <cell r="J51"/>
        </row>
        <row r="52">
          <cell r="B52" t="str">
            <v>MLS_Inferencing</v>
          </cell>
          <cell r="J52"/>
        </row>
        <row r="53">
          <cell r="B53" t="str">
            <v>MLS_Languages_Runtimes_Compilers_Tools</v>
          </cell>
          <cell r="J53"/>
        </row>
        <row r="54">
          <cell r="B54" t="str">
            <v>MLS_Performance_Libraries</v>
          </cell>
          <cell r="J54"/>
        </row>
        <row r="55">
          <cell r="B55" t="str">
            <v>MLS_PM</v>
          </cell>
          <cell r="J55"/>
        </row>
        <row r="56">
          <cell r="B56" t="str">
            <v>MLS_QA</v>
          </cell>
          <cell r="J56"/>
        </row>
        <row r="57">
          <cell r="B57" t="str">
            <v>MLS_SW_Platform_Linux</v>
          </cell>
          <cell r="J57"/>
        </row>
        <row r="58">
          <cell r="B58" t="str">
            <v>MLS_Training</v>
          </cell>
          <cell r="J58"/>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Huynh" refreshedDate="46132.445532291669" createdVersion="8" refreshedVersion="8" minRefreshableVersion="3" recordCount="50" xr:uid="{2D7063D2-0633-46EA-B045-243FB267120C}">
  <cacheSource type="worksheet">
    <worksheetSource ref="A13:AL66" sheet="Capitola v1.0"/>
  </cacheSource>
  <cacheFields count="39">
    <cacheField name="Category" numFmtId="0">
      <sharedItems/>
    </cacheField>
    <cacheField name="Leader" numFmtId="0">
      <sharedItems containsBlank="1" count="5">
        <s v="Chris"/>
        <s v="Hugo"/>
        <s v="Matthias"/>
        <s v="Stephen"/>
        <m/>
      </sharedItems>
    </cacheField>
    <cacheField name="Top Level Team" numFmtId="0">
      <sharedItems containsBlank="1"/>
    </cacheField>
    <cacheField name="Function / Contact" numFmtId="0">
      <sharedItems containsBlank="1"/>
    </cacheField>
    <cacheField name="Location" numFmtId="0">
      <sharedItems containsBlank="1"/>
    </cacheField>
    <cacheField name="Allocation File" numFmtId="0">
      <sharedItems containsBlank="1"/>
    </cacheField>
    <cacheField name="HC Type" numFmtId="0">
      <sharedItems containsBlank="1" count="3">
        <s v="Existing - AOP"/>
        <s v="Incremental - XCHG"/>
        <m/>
      </sharedItems>
    </cacheField>
    <cacheField name="Q125" numFmtId="170">
      <sharedItems containsNonDate="0" containsString="0" containsBlank="1"/>
    </cacheField>
    <cacheField name="Q225" numFmtId="170">
      <sharedItems containsString="0" containsBlank="1" containsNumber="1" minValue="0.2" maxValue="0.2"/>
    </cacheField>
    <cacheField name="Q325" numFmtId="170">
      <sharedItems containsString="0" containsBlank="1" containsNumber="1" minValue="0.2" maxValue="0.2"/>
    </cacheField>
    <cacheField name="Q425" numFmtId="170">
      <sharedItems containsString="0" containsBlank="1" containsNumber="1" minValue="0.2" maxValue="0.2"/>
    </cacheField>
    <cacheField name="Q126" numFmtId="170">
      <sharedItems containsString="0" containsBlank="1" containsNumber="1" minValue="0.2" maxValue="0.2"/>
    </cacheField>
    <cacheField name="Q226" numFmtId="170">
      <sharedItems containsString="0" containsBlank="1" containsNumber="1" minValue="0.1" maxValue="1"/>
    </cacheField>
    <cacheField name="Q326" numFmtId="170">
      <sharedItems containsString="0" containsBlank="1" containsNumber="1" minValue="0.1" maxValue="2"/>
    </cacheField>
    <cacheField name="Q426" numFmtId="170">
      <sharedItems containsString="0" containsBlank="1" containsNumber="1" minValue="0.1" maxValue="8"/>
    </cacheField>
    <cacheField name="Q127" numFmtId="170">
      <sharedItems containsString="0" containsBlank="1" containsNumber="1" minValue="0.1" maxValue="8"/>
    </cacheField>
    <cacheField name="Q227" numFmtId="170">
      <sharedItems containsString="0" containsBlank="1" containsNumber="1" minValue="0.1" maxValue="8"/>
    </cacheField>
    <cacheField name="Q327" numFmtId="170">
      <sharedItems containsString="0" containsBlank="1" containsNumber="1" minValue="0.1" maxValue="8"/>
    </cacheField>
    <cacheField name="Q427" numFmtId="170">
      <sharedItems containsString="0" containsBlank="1" containsNumber="1" containsInteger="1" minValue="1" maxValue="6"/>
    </cacheField>
    <cacheField name="Q128" numFmtId="170">
      <sharedItems containsString="0" containsBlank="1" containsNumber="1" minValue="0.5" maxValue="6"/>
    </cacheField>
    <cacheField name="Q228" numFmtId="170">
      <sharedItems containsString="0" containsBlank="1" containsNumber="1" containsInteger="1" minValue="3" maxValue="6"/>
    </cacheField>
    <cacheField name="Q328" numFmtId="170">
      <sharedItems containsString="0" containsBlank="1" containsNumber="1" containsInteger="1" minValue="2" maxValue="3"/>
    </cacheField>
    <cacheField name="Q428" numFmtId="170">
      <sharedItems containsNonDate="0" containsString="0" containsBlank="1"/>
    </cacheField>
    <cacheField name="Q129" numFmtId="170">
      <sharedItems containsNonDate="0" containsString="0" containsBlank="1"/>
    </cacheField>
    <cacheField name="Q229" numFmtId="170">
      <sharedItems containsNonDate="0" containsString="0" containsBlank="1"/>
    </cacheField>
    <cacheField name="Q329" numFmtId="170">
      <sharedItems containsNonDate="0" containsString="0" containsBlank="1"/>
    </cacheField>
    <cacheField name="Q429" numFmtId="170">
      <sharedItems containsNonDate="0" containsString="0" containsBlank="1"/>
    </cacheField>
    <cacheField name="Q130" numFmtId="170">
      <sharedItems containsNonDate="0" containsString="0" containsBlank="1"/>
    </cacheField>
    <cacheField name="Q230" numFmtId="170">
      <sharedItems containsNonDate="0" containsString="0" containsBlank="1"/>
    </cacheField>
    <cacheField name="Q330" numFmtId="170">
      <sharedItems containsString="0" containsBlank="1" containsNumber="1" containsInteger="1" minValue="0" maxValue="0"/>
    </cacheField>
    <cacheField name="Q430" numFmtId="170">
      <sharedItems containsString="0" containsBlank="1" containsNumber="1" containsInteger="1" minValue="0" maxValue="0"/>
    </cacheField>
    <cacheField name="Q131" numFmtId="170">
      <sharedItems containsNonDate="0" containsString="0" containsBlank="1"/>
    </cacheField>
    <cacheField name="Q231" numFmtId="170">
      <sharedItems containsNonDate="0" containsString="0" containsBlank="1"/>
    </cacheField>
    <cacheField name="Q331" numFmtId="170">
      <sharedItems containsNonDate="0" containsString="0" containsBlank="1"/>
    </cacheField>
    <cacheField name="Q431" numFmtId="170">
      <sharedItems containsNonDate="0" containsString="0" containsBlank="1"/>
    </cacheField>
    <cacheField name="Sum HC" numFmtId="170">
      <sharedItems containsSemiMixedTypes="0" containsString="0" containsNumber="1" minValue="0" maxValue="32"/>
    </cacheField>
    <cacheField name="Peak HC" numFmtId="170">
      <sharedItems containsSemiMixedTypes="0" containsString="0" containsNumber="1" minValue="0" maxValue="8"/>
    </cacheField>
    <cacheField name="Rate" numFmtId="172">
      <sharedItems containsSemiMixedTypes="0" containsString="0" containsNumber="1" minValue="0" maxValue="57001.201725000043"/>
    </cacheField>
    <cacheField name="Cost" numFmtId="172">
      <sharedItems containsSemiMixedTypes="0" containsString="0" containsNumber="1" minValue="0" maxValue="1026021.63105000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Virtualization"/>
    <x v="0"/>
    <s v="SPG_Platform Virtualization"/>
    <s v="Host Driver"/>
    <s v="Canada"/>
    <s v="alloc_PPL_Virtualization"/>
    <x v="0"/>
    <m/>
    <m/>
    <m/>
    <m/>
    <m/>
    <m/>
    <m/>
    <n v="8"/>
    <n v="8"/>
    <n v="8"/>
    <n v="8"/>
    <m/>
    <m/>
    <m/>
    <m/>
    <m/>
    <m/>
    <m/>
    <m/>
    <m/>
    <m/>
    <m/>
    <n v="0"/>
    <n v="0"/>
    <m/>
    <m/>
    <m/>
    <m/>
    <n v="32"/>
    <n v="8"/>
    <n v="30138.249515086281"/>
    <n v="964423.98448276101"/>
  </r>
  <r>
    <s v="Virtualization"/>
    <x v="0"/>
    <s v="SPG_Platform Virtualization"/>
    <s v="Host Driver"/>
    <s v="Canada"/>
    <s v="alloc_PPL_Virtualization"/>
    <x v="1"/>
    <m/>
    <m/>
    <m/>
    <m/>
    <m/>
    <m/>
    <m/>
    <m/>
    <m/>
    <m/>
    <m/>
    <n v="3"/>
    <n v="3"/>
    <n v="3"/>
    <n v="3"/>
    <m/>
    <m/>
    <m/>
    <m/>
    <m/>
    <m/>
    <m/>
    <m/>
    <m/>
    <m/>
    <m/>
    <m/>
    <m/>
    <n v="12"/>
    <n v="3"/>
    <n v="30138.249515086281"/>
    <n v="361658.99418103538"/>
  </r>
  <r>
    <s v="PFO"/>
    <x v="0"/>
    <s v="SPG_SPIO"/>
    <s v="FW for PCIE Endpoint and related resets"/>
    <s v="Canada"/>
    <s v="alloc_SPIO"/>
    <x v="1"/>
    <m/>
    <m/>
    <m/>
    <m/>
    <m/>
    <m/>
    <n v="2"/>
    <n v="2"/>
    <n v="2"/>
    <n v="2"/>
    <n v="1"/>
    <m/>
    <m/>
    <m/>
    <m/>
    <m/>
    <m/>
    <m/>
    <m/>
    <m/>
    <m/>
    <m/>
    <m/>
    <m/>
    <m/>
    <m/>
    <m/>
    <m/>
    <n v="9"/>
    <n v="2"/>
    <n v="30138.249515086281"/>
    <n v="271244.24563577655"/>
  </r>
  <r>
    <s v="PFO"/>
    <x v="0"/>
    <s v="SPG_FWProgMgmt"/>
    <s v="Pre-Si FW PM"/>
    <s v="Canada"/>
    <s v="alloc_PFO_PM_Arch"/>
    <x v="1"/>
    <m/>
    <m/>
    <m/>
    <m/>
    <m/>
    <n v="1"/>
    <n v="1"/>
    <n v="1"/>
    <n v="1"/>
    <n v="0.5"/>
    <m/>
    <m/>
    <m/>
    <m/>
    <m/>
    <m/>
    <m/>
    <m/>
    <m/>
    <m/>
    <m/>
    <m/>
    <m/>
    <m/>
    <m/>
    <m/>
    <m/>
    <m/>
    <n v="4.5"/>
    <n v="1"/>
    <n v="30138.249515086281"/>
    <n v="135622.12281788827"/>
  </r>
  <r>
    <s v="PlatLinux"/>
    <x v="0"/>
    <s v="SPG_Platform_Linux"/>
    <s v="Linux KGD"/>
    <s v="China Shanghai"/>
    <s v="alloc_MLS_Linux_1"/>
    <x v="1"/>
    <m/>
    <m/>
    <m/>
    <m/>
    <m/>
    <n v="1"/>
    <n v="1"/>
    <n v="1"/>
    <n v="1"/>
    <n v="0.5"/>
    <m/>
    <m/>
    <m/>
    <m/>
    <m/>
    <m/>
    <m/>
    <m/>
    <m/>
    <m/>
    <m/>
    <m/>
    <m/>
    <m/>
    <m/>
    <m/>
    <m/>
    <m/>
    <n v="4.5"/>
    <n v="1"/>
    <n v="27275.208822115485"/>
    <n v="122738.43969951969"/>
  </r>
  <r>
    <s v="PlatLinux"/>
    <x v="0"/>
    <s v="SPG_Platform_Linux"/>
    <s v="Linux KFD"/>
    <s v="Canada"/>
    <s v="alloc_MLS_Linux_2"/>
    <x v="0"/>
    <m/>
    <m/>
    <m/>
    <m/>
    <m/>
    <n v="0.5"/>
    <n v="1"/>
    <n v="1"/>
    <n v="1"/>
    <n v="0.5"/>
    <m/>
    <m/>
    <m/>
    <m/>
    <m/>
    <m/>
    <m/>
    <m/>
    <m/>
    <m/>
    <m/>
    <m/>
    <m/>
    <m/>
    <m/>
    <m/>
    <m/>
    <m/>
    <n v="4"/>
    <n v="1"/>
    <n v="30138.249515086281"/>
    <n v="120552.99806034513"/>
  </r>
  <r>
    <s v="Security"/>
    <x v="1"/>
    <s v="SPG_Security"/>
    <s v="Security Research"/>
    <s v="USA"/>
    <s v="alloc_Product Security"/>
    <x v="0"/>
    <m/>
    <m/>
    <m/>
    <m/>
    <m/>
    <n v="0.1"/>
    <n v="0.1"/>
    <n v="0.1"/>
    <n v="0.1"/>
    <n v="0.1"/>
    <n v="0.1"/>
    <m/>
    <m/>
    <m/>
    <m/>
    <m/>
    <m/>
    <m/>
    <m/>
    <m/>
    <m/>
    <m/>
    <m/>
    <m/>
    <m/>
    <m/>
    <m/>
    <m/>
    <n v="0.6"/>
    <n v="0.1"/>
    <n v="57001.201725000043"/>
    <n v="34200.721035000024"/>
  </r>
  <r>
    <s v="Security"/>
    <x v="1"/>
    <s v="SPG_Security"/>
    <s v="SDL"/>
    <s v="USA"/>
    <s v="alloc_Product Security"/>
    <x v="0"/>
    <m/>
    <n v="0.2"/>
    <n v="0.2"/>
    <n v="0.2"/>
    <n v="0.2"/>
    <n v="0.2"/>
    <n v="0.2"/>
    <n v="0.2"/>
    <n v="0.2"/>
    <n v="0.2"/>
    <n v="0.2"/>
    <m/>
    <m/>
    <m/>
    <m/>
    <m/>
    <m/>
    <m/>
    <m/>
    <m/>
    <m/>
    <m/>
    <m/>
    <m/>
    <m/>
    <m/>
    <m/>
    <m/>
    <n v="1.9999999999999998"/>
    <n v="0.2"/>
    <n v="57001.201725000043"/>
    <n v="114002.40345000007"/>
  </r>
  <r>
    <s v="Security"/>
    <x v="1"/>
    <s v="SPG_Security"/>
    <s v="Si Provenance"/>
    <s v="USA"/>
    <s v="alloc_Product Security"/>
    <x v="0"/>
    <m/>
    <m/>
    <m/>
    <m/>
    <m/>
    <m/>
    <n v="0.3"/>
    <n v="0.3"/>
    <n v="0.3"/>
    <n v="0.3"/>
    <m/>
    <m/>
    <m/>
    <m/>
    <m/>
    <m/>
    <m/>
    <m/>
    <m/>
    <m/>
    <m/>
    <m/>
    <m/>
    <m/>
    <m/>
    <m/>
    <m/>
    <m/>
    <n v="1.2"/>
    <n v="0.3"/>
    <n v="57001.201725000043"/>
    <n v="68401.442070000048"/>
  </r>
  <r>
    <s v="Security"/>
    <x v="1"/>
    <s v="SPG_Security"/>
    <s v="Certifications"/>
    <s v="USA"/>
    <s v="alloc_Product Security"/>
    <x v="0"/>
    <m/>
    <m/>
    <m/>
    <m/>
    <m/>
    <m/>
    <n v="2"/>
    <n v="3"/>
    <n v="3"/>
    <n v="3"/>
    <n v="3"/>
    <n v="2"/>
    <n v="2"/>
    <m/>
    <m/>
    <m/>
    <m/>
    <m/>
    <m/>
    <m/>
    <m/>
    <m/>
    <m/>
    <m/>
    <m/>
    <m/>
    <m/>
    <m/>
    <n v="18"/>
    <n v="3"/>
    <n v="57001.201725000043"/>
    <n v="1026021.6310500008"/>
  </r>
  <r>
    <s v="SW PM"/>
    <x v="2"/>
    <s v="SPG_SW_ProgramManagers"/>
    <s v="Cross-Functional SW PM"/>
    <s v="Canada"/>
    <s v="alloc_Program Management_AlejandroR"/>
    <x v="1"/>
    <m/>
    <m/>
    <m/>
    <m/>
    <m/>
    <n v="0.5"/>
    <n v="1"/>
    <n v="1"/>
    <n v="1"/>
    <n v="1"/>
    <n v="1"/>
    <n v="1"/>
    <n v="0.5"/>
    <m/>
    <m/>
    <m/>
    <m/>
    <m/>
    <m/>
    <m/>
    <m/>
    <m/>
    <m/>
    <m/>
    <m/>
    <m/>
    <m/>
    <m/>
    <n v="7"/>
    <n v="1"/>
    <n v="30138.249515086281"/>
    <n v="210967.74660560396"/>
  </r>
  <r>
    <s v="SQA"/>
    <x v="3"/>
    <s v="SPG_SSE QA"/>
    <s v="CVSAI(Jenny&amp;Calvin)"/>
    <s v="Canada"/>
    <s v="alloc_SQA CVSAI"/>
    <x v="0"/>
    <m/>
    <m/>
    <m/>
    <m/>
    <m/>
    <m/>
    <m/>
    <m/>
    <m/>
    <n v="2"/>
    <n v="6"/>
    <n v="6"/>
    <n v="6"/>
    <n v="6"/>
    <n v="2"/>
    <m/>
    <m/>
    <m/>
    <m/>
    <m/>
    <m/>
    <m/>
    <m/>
    <m/>
    <m/>
    <m/>
    <m/>
    <m/>
    <n v="28"/>
    <n v="6"/>
    <n v="30138.249515086281"/>
    <n v="843870.98642241582"/>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1825F4-1D19-4A3E-8D7E-99B0970CB24A}" name="PivotTable1" cacheId="1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D9" firstHeaderRow="1" firstDataRow="2" firstDataCol="1"/>
  <pivotFields count="39">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5">
        <item x="0"/>
        <item x="1"/>
        <item x="2"/>
        <item x="3"/>
        <item x="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defaultSubtotal="0">
      <items count="3">
        <item x="0"/>
        <item x="1"/>
        <item h="1"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70" outline="0" subtotalTop="0" showAll="0" defaultSubtotal="0">
      <extLst>
        <ext xmlns:x14="http://schemas.microsoft.com/office/spreadsheetml/2009/9/main" uri="{2946ED86-A175-432a-8AC1-64E0C546D7DE}">
          <x14:pivotField fillDownLabels="1"/>
        </ext>
      </extLst>
    </pivotField>
    <pivotField compact="0" numFmtId="170" outline="0" subtotalTop="0" showAll="0" defaultSubtotal="0">
      <extLst>
        <ext xmlns:x14="http://schemas.microsoft.com/office/spreadsheetml/2009/9/main" uri="{2946ED86-A175-432a-8AC1-64E0C546D7DE}">
          <x14:pivotField fillDownLabels="1"/>
        </ext>
      </extLst>
    </pivotField>
    <pivotField compact="0" numFmtId="172" outline="0" subtotalTop="0" showAll="0" defaultSubtotal="0">
      <extLst>
        <ext xmlns:x14="http://schemas.microsoft.com/office/spreadsheetml/2009/9/main" uri="{2946ED86-A175-432a-8AC1-64E0C546D7DE}">
          <x14:pivotField fillDownLabels="1"/>
        </ext>
      </extLst>
    </pivotField>
    <pivotField dataField="1" compact="0" numFmtId="172" outline="0"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2"/>
    </i>
    <i>
      <x v="3"/>
    </i>
    <i t="grand">
      <x/>
    </i>
  </rowItems>
  <colFields count="1">
    <field x="6"/>
  </colFields>
  <colItems count="3">
    <i>
      <x/>
    </i>
    <i>
      <x v="1"/>
    </i>
    <i t="grand">
      <x/>
    </i>
  </colItems>
  <dataFields count="1">
    <dataField name="Cost ($M)" fld="38" baseField="1" baseItem="0" numFmtId="173"/>
  </dataFields>
  <formats count="3">
    <format dxfId="51">
      <pivotArea dataOnly="0" labelOnly="1" outline="0" fieldPosition="0">
        <references count="1">
          <reference field="6" count="1">
            <x v="0"/>
          </reference>
        </references>
      </pivotArea>
    </format>
    <format dxfId="50">
      <pivotArea dataOnly="0" labelOnly="1" outline="0" fieldPosition="0">
        <references count="1">
          <reference field="6" count="1">
            <x v="1"/>
          </reference>
        </references>
      </pivotArea>
    </format>
    <format dxfId="49">
      <pivotArea outline="0" fieldPosition="0">
        <references count="1">
          <reference field="4294967294" count="1">
            <x v="0"/>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6BD621-91E5-434A-84A4-91F3647AC527}" name="Table1" displayName="Table1" ref="B2:F15" totalsRowShown="0" dataDxfId="48">
  <autoFilter ref="B2:F15" xr:uid="{7D6BD621-91E5-434A-84A4-91F3647AC527}"/>
  <tableColumns count="5">
    <tableColumn id="1" xr3:uid="{4662D239-53BB-43D1-9A85-A89472A6EB1D}" name="Team" dataDxfId="47"/>
    <tableColumn id="2" xr3:uid="{4F5F2234-67A6-4C93-9295-2A73FA2066F1}" name="Contact" dataDxfId="46"/>
    <tableColumn id="3" xr3:uid="{4E30F878-F182-470D-BA1B-26BCB01F397F}" name="Scope / Function / Impact / Involvement" dataDxfId="45"/>
    <tableColumn id="4" xr3:uid="{F3BF70F5-2D74-42C0-BB79-90A1D3386E7A}" name="Status" dataDxfId="44"/>
    <tableColumn id="5" xr3:uid="{58D15700-FE06-4DE4-815A-1E5688FBADC3}" name="Comments" dataDxfId="43"/>
  </tableColumns>
  <tableStyleInfo name="TableStyleMedium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E9790-3457-4594-B244-8601F9C882DA}">
  <sheetPr published="0" codeName="Sheet9">
    <tabColor rgb="FF00B050"/>
  </sheetPr>
  <dimension ref="A1:AP120"/>
  <sheetViews>
    <sheetView showGridLines="0" topLeftCell="A8" zoomScale="85" zoomScaleNormal="85" workbookViewId="0">
      <selection activeCell="T20" sqref="T20:V20"/>
    </sheetView>
  </sheetViews>
  <sheetFormatPr defaultColWidth="8.42578125" defaultRowHeight="15" outlineLevelRow="1" outlineLevelCol="1" x14ac:dyDescent="0.25"/>
  <cols>
    <col min="1" max="1" width="10.42578125" customWidth="1" outlineLevel="1"/>
    <col min="2" max="2" width="10.42578125" customWidth="1"/>
    <col min="3" max="3" width="27.5703125" customWidth="1"/>
    <col min="4" max="5" width="33.5703125" customWidth="1"/>
    <col min="6" max="6" width="11" customWidth="1" outlineLevel="1"/>
    <col min="7" max="7" width="23" customWidth="1" outlineLevel="1"/>
    <col min="8" max="8" width="19.5703125" bestFit="1" customWidth="1"/>
    <col min="9" max="11" width="6.42578125" hidden="1" customWidth="1"/>
    <col min="12" max="12" width="6.42578125" customWidth="1"/>
    <col min="13" max="13" width="6.42578125" customWidth="1" outlineLevel="1"/>
    <col min="14" max="14" width="6.7109375" customWidth="1" outlineLevel="1"/>
    <col min="15" max="15" width="7" customWidth="1" outlineLevel="1"/>
    <col min="16" max="16" width="7.28515625" customWidth="1" outlineLevel="1"/>
    <col min="17" max="17" width="6.7109375" customWidth="1" outlineLevel="1"/>
    <col min="18" max="18" width="7.85546875" bestFit="1" customWidth="1" outlineLevel="1"/>
    <col min="19" max="20" width="8.5703125" bestFit="1" customWidth="1" outlineLevel="1"/>
    <col min="21" max="25" width="8.140625" bestFit="1" customWidth="1" outlineLevel="1"/>
    <col min="26" max="27" width="6.7109375" hidden="1" customWidth="1" outlineLevel="1"/>
    <col min="28" max="36" width="6.42578125" hidden="1" customWidth="1" outlineLevel="1"/>
    <col min="37" max="37" width="11.42578125" bestFit="1" customWidth="1"/>
    <col min="38" max="38" width="9.42578125" customWidth="1"/>
    <col min="39" max="39" width="16.42578125" customWidth="1"/>
    <col min="40" max="41" width="8.42578125" customWidth="1"/>
    <col min="42" max="42" width="19.7109375" customWidth="1"/>
    <col min="43" max="43" width="67.5703125" customWidth="1"/>
    <col min="44" max="44" width="8.42578125" customWidth="1"/>
  </cols>
  <sheetData>
    <row r="1" spans="1:42" ht="45" x14ac:dyDescent="0.25">
      <c r="D1" s="158" t="s">
        <v>287</v>
      </c>
      <c r="E1" s="2" t="s">
        <v>288</v>
      </c>
    </row>
    <row r="2" spans="1:42" ht="45" x14ac:dyDescent="0.25">
      <c r="D2" s="160" t="s">
        <v>289</v>
      </c>
      <c r="E2" s="2" t="s">
        <v>290</v>
      </c>
    </row>
    <row r="3" spans="1:42" ht="60" x14ac:dyDescent="0.25">
      <c r="D3" s="162" t="s">
        <v>291</v>
      </c>
      <c r="E3" s="2" t="s">
        <v>292</v>
      </c>
    </row>
    <row r="4" spans="1:42" ht="45" x14ac:dyDescent="0.25">
      <c r="D4" s="164" t="s">
        <v>293</v>
      </c>
      <c r="E4" s="2" t="s">
        <v>294</v>
      </c>
    </row>
    <row r="5" spans="1:42" ht="30" x14ac:dyDescent="0.25">
      <c r="D5" s="166" t="s">
        <v>295</v>
      </c>
      <c r="E5" s="2" t="s">
        <v>296</v>
      </c>
    </row>
    <row r="6" spans="1:42" ht="45" x14ac:dyDescent="0.25">
      <c r="D6" s="168" t="s">
        <v>297</v>
      </c>
      <c r="E6" s="2" t="s">
        <v>298</v>
      </c>
    </row>
    <row r="9" spans="1:42" ht="19.5" customHeight="1" x14ac:dyDescent="0.25">
      <c r="A9" s="92" t="str">
        <f>_xlfn.XLOOKUP(AM10,Status,statusnote,"",0,1)</f>
        <v>Sizing is OPEN.  Please UPDATE your estimates for your teams in this sheet.  Also UPDATE the scope, assumptions and risks in the Assumptions tab.</v>
      </c>
      <c r="B9" s="93"/>
      <c r="C9" s="93"/>
      <c r="D9" s="36"/>
      <c r="E9" s="36"/>
      <c r="F9" s="36"/>
      <c r="G9" s="36"/>
      <c r="H9" s="36"/>
      <c r="I9" s="90"/>
      <c r="J9" s="90"/>
      <c r="K9" s="90"/>
      <c r="L9" s="90"/>
      <c r="M9" s="90"/>
      <c r="N9" s="90"/>
      <c r="O9" s="90"/>
      <c r="P9" s="90"/>
      <c r="Q9" s="90"/>
      <c r="R9" s="90"/>
      <c r="S9" s="90"/>
      <c r="T9" s="91"/>
      <c r="U9" s="91"/>
      <c r="V9" s="91"/>
      <c r="W9" s="91"/>
      <c r="X9" s="37"/>
      <c r="Y9" s="37"/>
      <c r="Z9" s="37"/>
      <c r="AA9" s="37"/>
      <c r="AB9" s="37"/>
      <c r="AC9" s="37"/>
      <c r="AD9" s="37"/>
      <c r="AE9" s="37"/>
      <c r="AF9" s="37"/>
      <c r="AG9" s="37"/>
      <c r="AH9" s="37"/>
      <c r="AI9" s="37"/>
      <c r="AJ9" s="37"/>
      <c r="AK9" s="37"/>
      <c r="AL9" s="37"/>
      <c r="AM9" s="154" t="s">
        <v>0</v>
      </c>
      <c r="AN9" s="38"/>
      <c r="AO9" s="38"/>
      <c r="AP9" s="38"/>
    </row>
    <row r="10" spans="1:42" ht="75" customHeight="1" x14ac:dyDescent="0.25">
      <c r="A10" s="219" t="s">
        <v>238</v>
      </c>
      <c r="B10" s="219"/>
      <c r="C10" s="220"/>
      <c r="D10" s="221" t="s">
        <v>239</v>
      </c>
      <c r="E10" s="222"/>
      <c r="F10" s="223"/>
      <c r="G10" s="223"/>
      <c r="H10" s="223"/>
      <c r="I10" s="39"/>
      <c r="J10" s="39"/>
      <c r="K10" s="39"/>
      <c r="L10" s="103"/>
      <c r="M10" s="103"/>
      <c r="N10" s="103"/>
      <c r="O10" s="103"/>
      <c r="P10" s="39"/>
      <c r="Q10" s="39"/>
      <c r="R10" s="39"/>
      <c r="S10" s="39"/>
      <c r="T10" s="39"/>
      <c r="U10" s="39"/>
      <c r="V10" s="39"/>
      <c r="W10" s="39"/>
      <c r="X10" s="39"/>
      <c r="Y10" s="39"/>
      <c r="Z10" s="39"/>
      <c r="AA10" s="39"/>
      <c r="AB10" s="39"/>
      <c r="AC10" s="39"/>
      <c r="AD10" s="39"/>
      <c r="AE10" s="39"/>
      <c r="AF10" s="39"/>
      <c r="AG10" s="39"/>
      <c r="AH10" s="39"/>
      <c r="AI10" s="39"/>
      <c r="AJ10" s="39"/>
      <c r="AK10" s="102"/>
      <c r="AL10" s="102"/>
      <c r="AM10" s="202" t="s">
        <v>1</v>
      </c>
      <c r="AN10" s="20"/>
      <c r="AO10" s="20"/>
      <c r="AP10" s="20"/>
    </row>
    <row r="11" spans="1:42" x14ac:dyDescent="0.25">
      <c r="A11" s="204" t="s">
        <v>2</v>
      </c>
      <c r="B11" s="205"/>
      <c r="C11" s="208">
        <v>46134</v>
      </c>
      <c r="D11" s="210" t="s">
        <v>3</v>
      </c>
      <c r="E11" s="211"/>
      <c r="F11" s="211"/>
      <c r="G11" s="211"/>
      <c r="H11" s="211"/>
      <c r="I11" s="39"/>
      <c r="J11" s="39"/>
      <c r="K11" s="39"/>
      <c r="L11" s="103"/>
      <c r="M11" s="103"/>
      <c r="N11" s="103"/>
      <c r="O11" s="103"/>
      <c r="P11" s="103"/>
      <c r="Q11" s="103"/>
      <c r="R11" s="103"/>
      <c r="S11" s="103"/>
      <c r="T11" s="103"/>
      <c r="U11" s="103"/>
      <c r="V11" s="103"/>
      <c r="W11" s="103"/>
      <c r="X11" s="103"/>
      <c r="Y11" s="39"/>
      <c r="Z11" s="39"/>
      <c r="AA11" s="39"/>
      <c r="AB11" s="39"/>
      <c r="AC11" s="39"/>
      <c r="AD11" s="39"/>
      <c r="AE11" s="39"/>
      <c r="AF11" s="39"/>
      <c r="AG11" s="39"/>
      <c r="AH11" s="39"/>
      <c r="AI11" s="39"/>
      <c r="AJ11" s="39"/>
      <c r="AK11" s="102"/>
      <c r="AL11" s="102"/>
      <c r="AM11" s="202"/>
      <c r="AN11" s="20"/>
      <c r="AO11" s="20"/>
      <c r="AP11" s="20"/>
    </row>
    <row r="12" spans="1:42" ht="15.75" customHeight="1" x14ac:dyDescent="0.25">
      <c r="A12" s="206"/>
      <c r="B12" s="207"/>
      <c r="C12" s="209"/>
      <c r="D12" s="212" t="s">
        <v>4</v>
      </c>
      <c r="E12" s="213"/>
      <c r="F12" s="213"/>
      <c r="G12" s="213"/>
      <c r="H12" s="214"/>
      <c r="I12" s="215">
        <v>2026</v>
      </c>
      <c r="J12" s="216"/>
      <c r="K12" s="216"/>
      <c r="L12" s="217"/>
      <c r="M12" s="215">
        <f>I12+1</f>
        <v>2027</v>
      </c>
      <c r="N12" s="216"/>
      <c r="O12" s="216"/>
      <c r="P12" s="217"/>
      <c r="Q12" s="218">
        <f>M12+1</f>
        <v>2028</v>
      </c>
      <c r="R12" s="218"/>
      <c r="S12" s="218"/>
      <c r="T12" s="218"/>
      <c r="U12" s="218">
        <f>Q12+1</f>
        <v>2029</v>
      </c>
      <c r="V12" s="218"/>
      <c r="W12" s="218"/>
      <c r="X12" s="218"/>
      <c r="Y12" s="218">
        <f>U12+1</f>
        <v>2030</v>
      </c>
      <c r="Z12" s="218"/>
      <c r="AA12" s="218"/>
      <c r="AB12" s="218"/>
      <c r="AC12" s="218">
        <f>Y12+1</f>
        <v>2031</v>
      </c>
      <c r="AD12" s="218"/>
      <c r="AE12" s="218"/>
      <c r="AF12" s="218"/>
      <c r="AG12" s="218">
        <f>AC12+1</f>
        <v>2032</v>
      </c>
      <c r="AH12" s="218"/>
      <c r="AI12" s="218"/>
      <c r="AJ12" s="218"/>
      <c r="AK12" s="120">
        <f>SUBTOTAL(9,AK14:AK66)</f>
        <v>185.3</v>
      </c>
      <c r="AL12" s="121">
        <f>SUBTOTAL(9,AL14:AL66)</f>
        <v>32.700000000000003</v>
      </c>
      <c r="AM12" s="203"/>
      <c r="AN12" s="20"/>
      <c r="AO12" s="20"/>
      <c r="AP12" s="20"/>
    </row>
    <row r="13" spans="1:42" ht="33" customHeight="1" x14ac:dyDescent="0.25">
      <c r="A13" s="40" t="s">
        <v>5</v>
      </c>
      <c r="B13" s="40" t="s">
        <v>6</v>
      </c>
      <c r="C13" s="40" t="s">
        <v>7</v>
      </c>
      <c r="D13" s="41" t="s">
        <v>8</v>
      </c>
      <c r="E13" s="41" t="s">
        <v>235</v>
      </c>
      <c r="F13" s="41" t="s">
        <v>9</v>
      </c>
      <c r="G13" s="40" t="s">
        <v>10</v>
      </c>
      <c r="H13" s="41" t="s">
        <v>11</v>
      </c>
      <c r="I13" s="42" t="str">
        <f>"Q1"&amp;RIGHT(I12,2)</f>
        <v>Q126</v>
      </c>
      <c r="J13" s="42" t="str">
        <f>"Q"&amp;MID(I13,2,1)+1&amp;RIGHT(I12,2)</f>
        <v>Q226</v>
      </c>
      <c r="K13" s="42" t="str">
        <f>"Q"&amp;MID(J13,2,1)+1&amp;RIGHT(I12,2)</f>
        <v>Q326</v>
      </c>
      <c r="L13" s="42" t="str">
        <f>"Q"&amp;MID(K13,2,1)+1&amp;RIGHT(I12,2)</f>
        <v>Q426</v>
      </c>
      <c r="M13" s="42" t="str">
        <f>"Q1"&amp;RIGHT(M12,2)</f>
        <v>Q127</v>
      </c>
      <c r="N13" s="42" t="str">
        <f>"Q"&amp;MID(M13,2,1)+1&amp;RIGHT(M12,2)</f>
        <v>Q227</v>
      </c>
      <c r="O13" s="42" t="str">
        <f>"Q"&amp;MID(N13,2,1)+1&amp;RIGHT(M12,2)</f>
        <v>Q327</v>
      </c>
      <c r="P13" s="42" t="str">
        <f>"Q"&amp;MID(O13,2,1)+1&amp;RIGHT(M12,2)</f>
        <v>Q427</v>
      </c>
      <c r="Q13" s="42" t="str">
        <f>"Q1"&amp;RIGHT(Q12,2)</f>
        <v>Q128</v>
      </c>
      <c r="R13" s="42" t="str">
        <f>"Q"&amp;MID(Q13,2,1)+1&amp;RIGHT(Q12,2)</f>
        <v>Q228</v>
      </c>
      <c r="S13" s="42" t="str">
        <f>"Q"&amp;MID(R13,2,1)+1&amp;RIGHT(Q12,2)</f>
        <v>Q328</v>
      </c>
      <c r="T13" s="42" t="str">
        <f>"Q"&amp;MID(S13,2,1)+1&amp;RIGHT(Q12,2)</f>
        <v>Q428</v>
      </c>
      <c r="U13" s="42" t="str">
        <f>"Q1"&amp;RIGHT(U12,2)</f>
        <v>Q129</v>
      </c>
      <c r="V13" s="42" t="str">
        <f>"Q"&amp;MID(U13,2,1)+1&amp;RIGHT(U12,2)</f>
        <v>Q229</v>
      </c>
      <c r="W13" s="42" t="str">
        <f>"Q"&amp;MID(V13,2,1)+1&amp;RIGHT(U12,2)</f>
        <v>Q329</v>
      </c>
      <c r="X13" s="42" t="str">
        <f>"Q"&amp;MID(W13,2,1)+1&amp;RIGHT(U12,2)</f>
        <v>Q429</v>
      </c>
      <c r="Y13" s="42" t="str">
        <f>"Q1"&amp;RIGHT(Y12,2)</f>
        <v>Q130</v>
      </c>
      <c r="Z13" s="42" t="str">
        <f>"Q"&amp;MID(Y13,2,1)+1&amp;RIGHT(Y12,2)</f>
        <v>Q230</v>
      </c>
      <c r="AA13" s="42" t="str">
        <f>"Q"&amp;MID(Z13,2,1)+1&amp;RIGHT(Y12,2)</f>
        <v>Q330</v>
      </c>
      <c r="AB13" s="42" t="str">
        <f>"Q"&amp;MID(AA13,2,1)+1&amp;RIGHT(Y12,2)</f>
        <v>Q430</v>
      </c>
      <c r="AC13" s="42" t="str">
        <f>"Q1"&amp;RIGHT(AC12,2)</f>
        <v>Q131</v>
      </c>
      <c r="AD13" s="42" t="str">
        <f>"Q"&amp;MID(AC13,2,1)+1&amp;RIGHT(AC12,2)</f>
        <v>Q231</v>
      </c>
      <c r="AE13" s="42" t="str">
        <f>"Q"&amp;MID(AD13,2,1)+1&amp;RIGHT(AC12,2)</f>
        <v>Q331</v>
      </c>
      <c r="AF13" s="42" t="str">
        <f>"Q"&amp;MID(AE13,2,1)+1&amp;RIGHT(AC12,2)</f>
        <v>Q431</v>
      </c>
      <c r="AG13" s="42" t="str">
        <f>"Q1"&amp;RIGHT(AG12,2)</f>
        <v>Q132</v>
      </c>
      <c r="AH13" s="42" t="str">
        <f>"Q"&amp;MID(AG13,2,1)+1&amp;RIGHT(AG12,2)</f>
        <v>Q232</v>
      </c>
      <c r="AI13" s="42" t="str">
        <f>"Q"&amp;MID(AH13,2,1)+1&amp;RIGHT(AG12,2)</f>
        <v>Q332</v>
      </c>
      <c r="AJ13" s="42" t="str">
        <f>"Q"&amp;MID(AI13,2,1)+1&amp;RIGHT(AG12,2)</f>
        <v>Q432</v>
      </c>
      <c r="AK13" s="43" t="s">
        <v>12</v>
      </c>
      <c r="AL13" s="43" t="s">
        <v>13</v>
      </c>
      <c r="AM13" s="44" t="s">
        <v>14</v>
      </c>
      <c r="AN13" s="45"/>
      <c r="AO13" s="45"/>
    </row>
    <row r="14" spans="1:42" ht="30" x14ac:dyDescent="0.25">
      <c r="A14" s="185"/>
      <c r="B14" s="169" t="s">
        <v>25</v>
      </c>
      <c r="C14" s="170" t="s">
        <v>28</v>
      </c>
      <c r="D14" s="171" t="s">
        <v>228</v>
      </c>
      <c r="E14" s="171"/>
      <c r="F14" s="172" t="s">
        <v>17</v>
      </c>
      <c r="G14" s="173" t="s">
        <v>236</v>
      </c>
      <c r="H14" s="96" t="s">
        <v>18</v>
      </c>
      <c r="I14" s="109"/>
      <c r="J14" s="109"/>
      <c r="K14" s="109"/>
      <c r="L14" s="157"/>
      <c r="M14" s="157">
        <v>0.2</v>
      </c>
      <c r="N14" s="159">
        <v>0.5</v>
      </c>
      <c r="O14" s="159">
        <v>0.5</v>
      </c>
      <c r="P14" s="159">
        <v>0.5</v>
      </c>
      <c r="Q14" s="161">
        <v>0.5</v>
      </c>
      <c r="R14" s="161">
        <v>0.5</v>
      </c>
      <c r="S14" s="161">
        <v>0.5</v>
      </c>
      <c r="T14" s="163">
        <v>0.5</v>
      </c>
      <c r="U14" s="163">
        <v>0.5</v>
      </c>
      <c r="V14" s="165">
        <v>0.5</v>
      </c>
      <c r="W14" s="165">
        <v>0.5</v>
      </c>
      <c r="X14" s="167">
        <v>0.3</v>
      </c>
      <c r="Y14" s="167">
        <v>0.2</v>
      </c>
      <c r="Z14" s="109"/>
      <c r="AA14" s="109"/>
      <c r="AB14" s="109"/>
      <c r="AC14" s="109"/>
      <c r="AD14" s="109"/>
      <c r="AE14" s="109">
        <v>0</v>
      </c>
      <c r="AF14" s="109">
        <v>0</v>
      </c>
      <c r="AG14" s="109"/>
      <c r="AH14" s="109"/>
      <c r="AI14" s="109"/>
      <c r="AJ14" s="109"/>
      <c r="AK14" s="110">
        <f t="shared" ref="AK14:AK28" si="0">SUM(I14:AJ14)</f>
        <v>5.7</v>
      </c>
      <c r="AL14" s="111">
        <f t="shared" ref="AL14:AL28" si="1">MAX(I14:AJ14)</f>
        <v>0.5</v>
      </c>
      <c r="AM14" s="47"/>
      <c r="AN14" s="21"/>
      <c r="AO14" s="49"/>
    </row>
    <row r="15" spans="1:42" ht="29.25" customHeight="1" x14ac:dyDescent="0.25">
      <c r="A15" s="185"/>
      <c r="B15" s="169" t="s">
        <v>25</v>
      </c>
      <c r="C15" s="170" t="s">
        <v>28</v>
      </c>
      <c r="D15" s="171" t="s">
        <v>241</v>
      </c>
      <c r="E15" s="172" t="s">
        <v>242</v>
      </c>
      <c r="F15" s="172" t="s">
        <v>17</v>
      </c>
      <c r="G15" s="173" t="s">
        <v>236</v>
      </c>
      <c r="H15" s="96" t="s">
        <v>18</v>
      </c>
      <c r="I15" s="109"/>
      <c r="J15" s="109"/>
      <c r="K15" s="109"/>
      <c r="L15" s="157"/>
      <c r="M15" s="157"/>
      <c r="N15" s="159"/>
      <c r="O15" s="159"/>
      <c r="P15" s="159">
        <v>0.5</v>
      </c>
      <c r="Q15" s="161">
        <v>1</v>
      </c>
      <c r="R15" s="161">
        <v>1.5</v>
      </c>
      <c r="S15" s="161">
        <v>0.5</v>
      </c>
      <c r="T15" s="163"/>
      <c r="U15" s="163"/>
      <c r="V15" s="165"/>
      <c r="W15" s="165"/>
      <c r="X15" s="167"/>
      <c r="Y15" s="167"/>
      <c r="Z15" s="109"/>
      <c r="AA15" s="109"/>
      <c r="AB15" s="109"/>
      <c r="AC15" s="109"/>
      <c r="AD15" s="109"/>
      <c r="AE15" s="109"/>
      <c r="AF15" s="109"/>
      <c r="AG15" s="109"/>
      <c r="AH15" s="109"/>
      <c r="AI15" s="109"/>
      <c r="AJ15" s="109"/>
      <c r="AK15" s="110">
        <f t="shared" si="0"/>
        <v>3.5</v>
      </c>
      <c r="AL15" s="111">
        <f t="shared" si="1"/>
        <v>1.5</v>
      </c>
      <c r="AM15" s="47"/>
      <c r="AN15" s="21"/>
      <c r="AO15" s="49"/>
    </row>
    <row r="16" spans="1:42" ht="30" customHeight="1" x14ac:dyDescent="0.25">
      <c r="A16" s="185"/>
      <c r="B16" s="169" t="s">
        <v>25</v>
      </c>
      <c r="C16" s="170" t="s">
        <v>28</v>
      </c>
      <c r="D16" s="171" t="s">
        <v>243</v>
      </c>
      <c r="E16" s="172" t="s">
        <v>244</v>
      </c>
      <c r="F16" s="172" t="s">
        <v>17</v>
      </c>
      <c r="G16" s="173" t="s">
        <v>236</v>
      </c>
      <c r="H16" s="96" t="s">
        <v>18</v>
      </c>
      <c r="I16" s="109"/>
      <c r="J16" s="109"/>
      <c r="K16" s="109"/>
      <c r="L16" s="157"/>
      <c r="M16" s="157"/>
      <c r="N16" s="159"/>
      <c r="O16" s="159"/>
      <c r="P16" s="159"/>
      <c r="Q16" s="161">
        <v>0.5</v>
      </c>
      <c r="R16" s="161">
        <v>1</v>
      </c>
      <c r="S16" s="161">
        <v>2</v>
      </c>
      <c r="T16" s="163">
        <v>2</v>
      </c>
      <c r="U16" s="163">
        <v>1.5</v>
      </c>
      <c r="V16" s="165">
        <v>0.5</v>
      </c>
      <c r="W16" s="165"/>
      <c r="X16" s="167"/>
      <c r="Y16" s="167"/>
      <c r="Z16" s="109"/>
      <c r="AA16" s="109"/>
      <c r="AB16" s="109"/>
      <c r="AC16" s="109"/>
      <c r="AD16" s="109"/>
      <c r="AE16" s="109"/>
      <c r="AF16" s="109"/>
      <c r="AG16" s="109"/>
      <c r="AH16" s="109"/>
      <c r="AI16" s="109"/>
      <c r="AJ16" s="109"/>
      <c r="AK16" s="110">
        <f t="shared" si="0"/>
        <v>7.5</v>
      </c>
      <c r="AL16" s="111">
        <f t="shared" si="1"/>
        <v>2</v>
      </c>
      <c r="AM16" s="47"/>
      <c r="AN16" s="21"/>
      <c r="AO16" s="49"/>
    </row>
    <row r="17" spans="1:41" x14ac:dyDescent="0.25">
      <c r="A17" s="185"/>
      <c r="B17" s="169" t="s">
        <v>25</v>
      </c>
      <c r="C17" s="170" t="s">
        <v>28</v>
      </c>
      <c r="D17" s="171" t="s">
        <v>240</v>
      </c>
      <c r="E17" s="172" t="s">
        <v>245</v>
      </c>
      <c r="F17" s="172" t="s">
        <v>17</v>
      </c>
      <c r="G17" s="173" t="s">
        <v>236</v>
      </c>
      <c r="H17" s="96" t="s">
        <v>18</v>
      </c>
      <c r="I17" s="109"/>
      <c r="J17" s="109"/>
      <c r="K17" s="109"/>
      <c r="L17" s="157"/>
      <c r="M17" s="157"/>
      <c r="N17" s="159"/>
      <c r="O17" s="159"/>
      <c r="P17" s="159"/>
      <c r="Q17" s="161"/>
      <c r="R17" s="161">
        <v>0.5</v>
      </c>
      <c r="S17" s="161">
        <v>2</v>
      </c>
      <c r="T17" s="163">
        <v>1.5</v>
      </c>
      <c r="U17" s="163">
        <v>1.5</v>
      </c>
      <c r="V17" s="165">
        <v>1</v>
      </c>
      <c r="W17" s="165">
        <v>1</v>
      </c>
      <c r="X17" s="167">
        <v>0.5</v>
      </c>
      <c r="Y17" s="167">
        <v>0.5</v>
      </c>
      <c r="Z17" s="109"/>
      <c r="AA17" s="109"/>
      <c r="AB17" s="109"/>
      <c r="AC17" s="109"/>
      <c r="AD17" s="109"/>
      <c r="AE17" s="109"/>
      <c r="AF17" s="109"/>
      <c r="AG17" s="109"/>
      <c r="AH17" s="109"/>
      <c r="AI17" s="109"/>
      <c r="AJ17" s="109"/>
      <c r="AK17" s="110">
        <f t="shared" si="0"/>
        <v>8.5</v>
      </c>
      <c r="AL17" s="111">
        <f t="shared" si="1"/>
        <v>2</v>
      </c>
      <c r="AM17" s="47"/>
      <c r="AN17" s="21"/>
      <c r="AO17" s="49"/>
    </row>
    <row r="18" spans="1:41" x14ac:dyDescent="0.25">
      <c r="A18" s="185"/>
      <c r="B18" s="187" t="s">
        <v>25</v>
      </c>
      <c r="C18" s="188" t="s">
        <v>28</v>
      </c>
      <c r="D18" s="186" t="s">
        <v>229</v>
      </c>
      <c r="E18" s="189" t="s">
        <v>246</v>
      </c>
      <c r="F18" s="189" t="s">
        <v>29</v>
      </c>
      <c r="G18" s="190" t="s">
        <v>236</v>
      </c>
      <c r="H18" s="96" t="s">
        <v>18</v>
      </c>
      <c r="I18" s="109"/>
      <c r="J18" s="109"/>
      <c r="K18" s="109"/>
      <c r="L18" s="157"/>
      <c r="M18" s="157"/>
      <c r="N18" s="159"/>
      <c r="O18" s="159"/>
      <c r="P18" s="159"/>
      <c r="Q18" s="161">
        <v>0.5</v>
      </c>
      <c r="R18" s="161">
        <v>0.5</v>
      </c>
      <c r="S18" s="161">
        <v>0.5</v>
      </c>
      <c r="T18" s="161">
        <v>0.5</v>
      </c>
      <c r="U18" s="161">
        <v>0.5</v>
      </c>
      <c r="V18" s="161">
        <v>0.5</v>
      </c>
      <c r="W18" s="161">
        <v>0.5</v>
      </c>
      <c r="X18" s="167">
        <v>0.3</v>
      </c>
      <c r="Y18" s="167">
        <v>0.2</v>
      </c>
      <c r="Z18" s="109"/>
      <c r="AA18" s="109"/>
      <c r="AB18" s="109"/>
      <c r="AC18" s="109"/>
      <c r="AD18" s="109"/>
      <c r="AE18" s="109"/>
      <c r="AF18" s="109"/>
      <c r="AG18" s="109"/>
      <c r="AH18" s="109"/>
      <c r="AI18" s="109"/>
      <c r="AJ18" s="109"/>
      <c r="AK18" s="110">
        <f t="shared" si="0"/>
        <v>4</v>
      </c>
      <c r="AL18" s="111">
        <f t="shared" si="1"/>
        <v>0.5</v>
      </c>
      <c r="AM18" s="47"/>
      <c r="AN18" s="21" t="s">
        <v>299</v>
      </c>
      <c r="AO18" s="49"/>
    </row>
    <row r="19" spans="1:41" x14ac:dyDescent="0.25">
      <c r="A19" s="185"/>
      <c r="B19" s="169" t="s">
        <v>25</v>
      </c>
      <c r="C19" s="170" t="s">
        <v>28</v>
      </c>
      <c r="D19" s="171" t="s">
        <v>230</v>
      </c>
      <c r="E19" s="172" t="s">
        <v>247</v>
      </c>
      <c r="F19" s="172" t="s">
        <v>17</v>
      </c>
      <c r="G19" s="173" t="s">
        <v>236</v>
      </c>
      <c r="H19" s="96" t="s">
        <v>18</v>
      </c>
      <c r="I19" s="109"/>
      <c r="J19" s="109"/>
      <c r="K19" s="109"/>
      <c r="L19" s="157"/>
      <c r="M19" s="157"/>
      <c r="N19" s="159"/>
      <c r="O19" s="159"/>
      <c r="P19" s="159"/>
      <c r="Q19" s="161">
        <v>1</v>
      </c>
      <c r="R19" s="161">
        <v>1</v>
      </c>
      <c r="S19" s="161">
        <v>1</v>
      </c>
      <c r="T19" s="163">
        <v>1</v>
      </c>
      <c r="U19" s="163">
        <v>1</v>
      </c>
      <c r="V19" s="165">
        <v>1</v>
      </c>
      <c r="W19" s="165">
        <v>1</v>
      </c>
      <c r="X19" s="167">
        <v>0.5</v>
      </c>
      <c r="Y19" s="167">
        <v>0.5</v>
      </c>
      <c r="Z19" s="109"/>
      <c r="AA19" s="109"/>
      <c r="AB19" s="109"/>
      <c r="AC19" s="109"/>
      <c r="AD19" s="109"/>
      <c r="AE19" s="109"/>
      <c r="AF19" s="109"/>
      <c r="AG19" s="109"/>
      <c r="AH19" s="109"/>
      <c r="AI19" s="109"/>
      <c r="AJ19" s="109"/>
      <c r="AK19" s="110">
        <f t="shared" si="0"/>
        <v>8</v>
      </c>
      <c r="AL19" s="111">
        <f t="shared" si="1"/>
        <v>1</v>
      </c>
      <c r="AM19" s="47"/>
      <c r="AN19" s="21"/>
      <c r="AO19" s="49"/>
    </row>
    <row r="20" spans="1:41" x14ac:dyDescent="0.25">
      <c r="A20" s="185"/>
      <c r="B20" s="169" t="s">
        <v>25</v>
      </c>
      <c r="C20" s="170" t="s">
        <v>28</v>
      </c>
      <c r="D20" s="171" t="s">
        <v>231</v>
      </c>
      <c r="E20" s="172" t="s">
        <v>248</v>
      </c>
      <c r="F20" s="172" t="s">
        <v>17</v>
      </c>
      <c r="G20" s="173" t="s">
        <v>236</v>
      </c>
      <c r="H20" s="96" t="s">
        <v>18</v>
      </c>
      <c r="I20" s="109"/>
      <c r="J20" s="109"/>
      <c r="K20" s="109"/>
      <c r="L20" s="157"/>
      <c r="M20" s="157"/>
      <c r="N20" s="159"/>
      <c r="O20" s="159"/>
      <c r="P20" s="159"/>
      <c r="Q20" s="161">
        <v>1</v>
      </c>
      <c r="R20" s="161">
        <v>1</v>
      </c>
      <c r="S20" s="161">
        <v>1</v>
      </c>
      <c r="T20" s="161">
        <v>1</v>
      </c>
      <c r="U20" s="161">
        <v>1</v>
      </c>
      <c r="V20" s="161">
        <v>1</v>
      </c>
      <c r="W20" s="165">
        <v>1</v>
      </c>
      <c r="X20" s="167">
        <v>0.5</v>
      </c>
      <c r="Y20" s="167">
        <v>0.5</v>
      </c>
      <c r="Z20" s="109"/>
      <c r="AA20" s="109"/>
      <c r="AB20" s="109"/>
      <c r="AC20" s="109"/>
      <c r="AD20" s="109"/>
      <c r="AE20" s="109"/>
      <c r="AF20" s="109"/>
      <c r="AG20" s="109"/>
      <c r="AH20" s="109"/>
      <c r="AI20" s="109"/>
      <c r="AJ20" s="109"/>
      <c r="AK20" s="110">
        <f t="shared" si="0"/>
        <v>8</v>
      </c>
      <c r="AL20" s="111">
        <f t="shared" si="1"/>
        <v>1</v>
      </c>
      <c r="AM20" s="47"/>
      <c r="AN20" s="21"/>
      <c r="AO20" s="49"/>
    </row>
    <row r="21" spans="1:41" x14ac:dyDescent="0.25">
      <c r="A21" s="185"/>
      <c r="B21" s="169" t="s">
        <v>25</v>
      </c>
      <c r="C21" s="170" t="s">
        <v>28</v>
      </c>
      <c r="D21" s="171" t="s">
        <v>249</v>
      </c>
      <c r="E21" s="172" t="s">
        <v>250</v>
      </c>
      <c r="F21" s="172" t="s">
        <v>17</v>
      </c>
      <c r="G21" s="173" t="s">
        <v>236</v>
      </c>
      <c r="H21" s="96" t="s">
        <v>18</v>
      </c>
      <c r="I21" s="109"/>
      <c r="J21" s="109"/>
      <c r="K21" s="109"/>
      <c r="L21" s="157"/>
      <c r="M21" s="157"/>
      <c r="N21" s="159"/>
      <c r="O21" s="159"/>
      <c r="P21" s="159"/>
      <c r="Q21" s="161"/>
      <c r="R21" s="161"/>
      <c r="S21" s="161">
        <v>0.5</v>
      </c>
      <c r="T21" s="163">
        <v>0.5</v>
      </c>
      <c r="U21" s="163">
        <v>0.5</v>
      </c>
      <c r="V21" s="165">
        <v>0.5</v>
      </c>
      <c r="W21" s="165">
        <v>0.5</v>
      </c>
      <c r="X21" s="167">
        <v>0.3</v>
      </c>
      <c r="Y21" s="167">
        <v>0.3</v>
      </c>
      <c r="Z21" s="109"/>
      <c r="AA21" s="109"/>
      <c r="AB21" s="109"/>
      <c r="AC21" s="109"/>
      <c r="AD21" s="109"/>
      <c r="AE21" s="109"/>
      <c r="AF21" s="109"/>
      <c r="AG21" s="109"/>
      <c r="AH21" s="109"/>
      <c r="AI21" s="109"/>
      <c r="AJ21" s="109"/>
      <c r="AK21" s="110">
        <f t="shared" si="0"/>
        <v>3.0999999999999996</v>
      </c>
      <c r="AL21" s="111">
        <f t="shared" si="1"/>
        <v>0.5</v>
      </c>
      <c r="AM21" s="47"/>
      <c r="AN21" s="21"/>
      <c r="AO21" s="49"/>
    </row>
    <row r="22" spans="1:41" x14ac:dyDescent="0.25">
      <c r="A22" s="185"/>
      <c r="B22" s="174" t="s">
        <v>25</v>
      </c>
      <c r="C22" s="175" t="s">
        <v>28</v>
      </c>
      <c r="D22" s="176" t="s">
        <v>232</v>
      </c>
      <c r="E22" s="177" t="s">
        <v>256</v>
      </c>
      <c r="F22" s="177" t="s">
        <v>29</v>
      </c>
      <c r="G22" s="178" t="s">
        <v>237</v>
      </c>
      <c r="H22" s="96" t="s">
        <v>18</v>
      </c>
      <c r="I22" s="109"/>
      <c r="J22" s="109"/>
      <c r="K22" s="109"/>
      <c r="L22" s="157"/>
      <c r="M22" s="157"/>
      <c r="N22" s="159"/>
      <c r="O22" s="159"/>
      <c r="P22" s="159"/>
      <c r="Q22" s="161"/>
      <c r="R22" s="161">
        <v>1</v>
      </c>
      <c r="S22" s="161">
        <v>1</v>
      </c>
      <c r="T22" s="163">
        <v>2</v>
      </c>
      <c r="U22" s="163">
        <v>2</v>
      </c>
      <c r="V22" s="165">
        <v>2</v>
      </c>
      <c r="W22" s="165">
        <v>1</v>
      </c>
      <c r="X22" s="167">
        <v>1</v>
      </c>
      <c r="Y22" s="167">
        <v>0.5</v>
      </c>
      <c r="Z22" s="109"/>
      <c r="AA22" s="109"/>
      <c r="AB22" s="109"/>
      <c r="AC22" s="109"/>
      <c r="AD22" s="109"/>
      <c r="AE22" s="109"/>
      <c r="AF22" s="109"/>
      <c r="AG22" s="109"/>
      <c r="AH22" s="109"/>
      <c r="AI22" s="109"/>
      <c r="AJ22" s="109"/>
      <c r="AK22" s="110">
        <f t="shared" si="0"/>
        <v>10.5</v>
      </c>
      <c r="AL22" s="111">
        <f t="shared" si="1"/>
        <v>2</v>
      </c>
      <c r="AM22" s="47"/>
      <c r="AN22" s="21"/>
      <c r="AO22" s="49"/>
    </row>
    <row r="23" spans="1:41" ht="45" x14ac:dyDescent="0.25">
      <c r="A23" s="185"/>
      <c r="B23" s="174" t="s">
        <v>25</v>
      </c>
      <c r="C23" s="175" t="s">
        <v>28</v>
      </c>
      <c r="D23" s="176" t="s">
        <v>257</v>
      </c>
      <c r="E23" s="177" t="s">
        <v>258</v>
      </c>
      <c r="F23" s="177" t="s">
        <v>29</v>
      </c>
      <c r="G23" s="178" t="s">
        <v>237</v>
      </c>
      <c r="H23" s="96" t="s">
        <v>18</v>
      </c>
      <c r="I23" s="109"/>
      <c r="J23" s="109"/>
      <c r="K23" s="109"/>
      <c r="L23" s="157"/>
      <c r="M23" s="157"/>
      <c r="N23" s="159"/>
      <c r="O23" s="159"/>
      <c r="P23" s="159"/>
      <c r="Q23" s="161"/>
      <c r="R23" s="161">
        <v>1</v>
      </c>
      <c r="S23" s="161">
        <v>1</v>
      </c>
      <c r="T23" s="163">
        <v>1.5</v>
      </c>
      <c r="U23" s="163">
        <v>1.5</v>
      </c>
      <c r="V23" s="165">
        <v>1.5</v>
      </c>
      <c r="W23" s="165">
        <v>1</v>
      </c>
      <c r="X23" s="167">
        <v>1</v>
      </c>
      <c r="Y23" s="167">
        <v>1</v>
      </c>
      <c r="Z23" s="109"/>
      <c r="AA23" s="109"/>
      <c r="AB23" s="109"/>
      <c r="AC23" s="109"/>
      <c r="AD23" s="109"/>
      <c r="AE23" s="109"/>
      <c r="AF23" s="109"/>
      <c r="AG23" s="109"/>
      <c r="AH23" s="109"/>
      <c r="AI23" s="109"/>
      <c r="AJ23" s="109"/>
      <c r="AK23" s="110">
        <f t="shared" si="0"/>
        <v>9.5</v>
      </c>
      <c r="AL23" s="111">
        <f t="shared" si="1"/>
        <v>1.5</v>
      </c>
      <c r="AM23" s="47"/>
      <c r="AN23" s="21"/>
      <c r="AO23" s="49"/>
    </row>
    <row r="24" spans="1:41" x14ac:dyDescent="0.25">
      <c r="A24" s="185"/>
      <c r="B24" s="174" t="s">
        <v>25</v>
      </c>
      <c r="C24" s="175" t="s">
        <v>28</v>
      </c>
      <c r="D24" s="176" t="s">
        <v>233</v>
      </c>
      <c r="E24" s="177" t="s">
        <v>259</v>
      </c>
      <c r="F24" s="177" t="s">
        <v>29</v>
      </c>
      <c r="G24" s="178" t="s">
        <v>237</v>
      </c>
      <c r="H24" s="96" t="s">
        <v>18</v>
      </c>
      <c r="I24" s="109"/>
      <c r="J24" s="109"/>
      <c r="K24" s="109"/>
      <c r="L24" s="157"/>
      <c r="M24" s="157"/>
      <c r="N24" s="159"/>
      <c r="O24" s="159"/>
      <c r="P24" s="159"/>
      <c r="Q24" s="161"/>
      <c r="R24" s="161">
        <v>1</v>
      </c>
      <c r="S24" s="161">
        <v>2</v>
      </c>
      <c r="T24" s="163">
        <v>2</v>
      </c>
      <c r="U24" s="163">
        <v>2</v>
      </c>
      <c r="V24" s="165">
        <v>2</v>
      </c>
      <c r="W24" s="165">
        <v>1</v>
      </c>
      <c r="X24" s="167">
        <v>1</v>
      </c>
      <c r="Y24" s="167">
        <v>1</v>
      </c>
      <c r="Z24" s="109"/>
      <c r="AA24" s="109"/>
      <c r="AB24" s="109"/>
      <c r="AC24" s="109"/>
      <c r="AD24" s="109"/>
      <c r="AE24" s="109"/>
      <c r="AF24" s="109"/>
      <c r="AG24" s="109"/>
      <c r="AH24" s="109"/>
      <c r="AI24" s="109"/>
      <c r="AJ24" s="109"/>
      <c r="AK24" s="110">
        <f t="shared" si="0"/>
        <v>12</v>
      </c>
      <c r="AL24" s="111">
        <f t="shared" si="1"/>
        <v>2</v>
      </c>
      <c r="AM24" s="47"/>
      <c r="AN24" s="21"/>
      <c r="AO24" s="49"/>
    </row>
    <row r="25" spans="1:41" ht="30" x14ac:dyDescent="0.25">
      <c r="A25" s="185"/>
      <c r="B25" s="174" t="s">
        <v>25</v>
      </c>
      <c r="C25" s="175" t="s">
        <v>28</v>
      </c>
      <c r="D25" s="176" t="s">
        <v>260</v>
      </c>
      <c r="E25" s="177" t="s">
        <v>261</v>
      </c>
      <c r="F25" s="177" t="s">
        <v>29</v>
      </c>
      <c r="G25" s="178" t="s">
        <v>237</v>
      </c>
      <c r="H25" s="96" t="s">
        <v>18</v>
      </c>
      <c r="I25" s="109"/>
      <c r="J25" s="109"/>
      <c r="K25" s="109"/>
      <c r="L25" s="157"/>
      <c r="M25" s="157"/>
      <c r="N25" s="159"/>
      <c r="O25" s="159"/>
      <c r="P25" s="159"/>
      <c r="Q25" s="161"/>
      <c r="R25" s="161">
        <v>1</v>
      </c>
      <c r="S25" s="161">
        <v>2</v>
      </c>
      <c r="T25" s="163">
        <v>2</v>
      </c>
      <c r="U25" s="163">
        <v>2</v>
      </c>
      <c r="V25" s="165">
        <v>2</v>
      </c>
      <c r="W25" s="165">
        <v>1</v>
      </c>
      <c r="X25" s="167">
        <v>1</v>
      </c>
      <c r="Y25" s="167">
        <v>0.5</v>
      </c>
      <c r="Z25" s="109"/>
      <c r="AA25" s="109"/>
      <c r="AB25" s="109"/>
      <c r="AC25" s="109"/>
      <c r="AD25" s="109"/>
      <c r="AE25" s="109"/>
      <c r="AF25" s="109"/>
      <c r="AG25" s="109"/>
      <c r="AH25" s="109"/>
      <c r="AI25" s="109"/>
      <c r="AJ25" s="109"/>
      <c r="AK25" s="110">
        <f t="shared" si="0"/>
        <v>11.5</v>
      </c>
      <c r="AL25" s="111">
        <f t="shared" si="1"/>
        <v>2</v>
      </c>
      <c r="AM25" s="47"/>
      <c r="AN25" s="21"/>
      <c r="AO25" s="49"/>
    </row>
    <row r="26" spans="1:41" ht="30" x14ac:dyDescent="0.25">
      <c r="A26" s="185"/>
      <c r="B26" s="174" t="s">
        <v>25</v>
      </c>
      <c r="C26" s="175" t="s">
        <v>28</v>
      </c>
      <c r="D26" s="179" t="s">
        <v>262</v>
      </c>
      <c r="E26" s="180" t="s">
        <v>263</v>
      </c>
      <c r="F26" s="177" t="s">
        <v>29</v>
      </c>
      <c r="G26" s="178" t="s">
        <v>237</v>
      </c>
      <c r="H26" s="96" t="s">
        <v>18</v>
      </c>
      <c r="I26" s="109"/>
      <c r="J26" s="109"/>
      <c r="K26" s="109"/>
      <c r="L26" s="157"/>
      <c r="M26" s="157"/>
      <c r="N26" s="159"/>
      <c r="O26" s="159"/>
      <c r="P26" s="159"/>
      <c r="Q26" s="161"/>
      <c r="R26" s="161">
        <v>1</v>
      </c>
      <c r="S26" s="161">
        <v>1</v>
      </c>
      <c r="T26" s="163">
        <v>2</v>
      </c>
      <c r="U26" s="163">
        <v>2</v>
      </c>
      <c r="V26" s="165">
        <v>2</v>
      </c>
      <c r="W26" s="165">
        <v>1</v>
      </c>
      <c r="X26" s="167">
        <v>1</v>
      </c>
      <c r="Y26" s="167">
        <v>0.5</v>
      </c>
      <c r="Z26" s="109"/>
      <c r="AA26" s="109"/>
      <c r="AB26" s="109"/>
      <c r="AC26" s="109"/>
      <c r="AD26" s="109"/>
      <c r="AE26" s="109"/>
      <c r="AF26" s="109"/>
      <c r="AG26" s="109"/>
      <c r="AH26" s="109"/>
      <c r="AI26" s="109"/>
      <c r="AJ26" s="109"/>
      <c r="AK26" s="110">
        <f t="shared" si="0"/>
        <v>10.5</v>
      </c>
      <c r="AL26" s="111">
        <f t="shared" si="1"/>
        <v>2</v>
      </c>
      <c r="AM26" s="47"/>
      <c r="AN26" s="21"/>
      <c r="AO26" s="49"/>
    </row>
    <row r="27" spans="1:41" ht="30" x14ac:dyDescent="0.25">
      <c r="A27" s="185"/>
      <c r="B27" s="174" t="s">
        <v>25</v>
      </c>
      <c r="C27" s="175" t="s">
        <v>28</v>
      </c>
      <c r="D27" s="179" t="s">
        <v>264</v>
      </c>
      <c r="E27" s="180" t="s">
        <v>265</v>
      </c>
      <c r="F27" s="177" t="s">
        <v>29</v>
      </c>
      <c r="G27" s="178" t="s">
        <v>237</v>
      </c>
      <c r="H27" s="96" t="s">
        <v>18</v>
      </c>
      <c r="I27" s="109"/>
      <c r="J27" s="109"/>
      <c r="K27" s="109"/>
      <c r="L27" s="157"/>
      <c r="M27" s="157"/>
      <c r="N27" s="159"/>
      <c r="O27" s="159"/>
      <c r="P27" s="159"/>
      <c r="Q27" s="161"/>
      <c r="R27" s="161">
        <v>0.5</v>
      </c>
      <c r="S27" s="161">
        <v>0.5</v>
      </c>
      <c r="T27" s="163">
        <v>1</v>
      </c>
      <c r="U27" s="163">
        <v>1</v>
      </c>
      <c r="V27" s="165">
        <v>1</v>
      </c>
      <c r="W27" s="165">
        <v>1</v>
      </c>
      <c r="X27" s="167">
        <v>0.5</v>
      </c>
      <c r="Y27" s="167">
        <v>0.5</v>
      </c>
      <c r="Z27" s="109"/>
      <c r="AA27" s="109"/>
      <c r="AB27" s="109"/>
      <c r="AC27" s="109"/>
      <c r="AD27" s="109"/>
      <c r="AE27" s="109"/>
      <c r="AF27" s="109"/>
      <c r="AG27" s="109"/>
      <c r="AH27" s="109"/>
      <c r="AI27" s="109"/>
      <c r="AJ27" s="109"/>
      <c r="AK27" s="110">
        <f t="shared" si="0"/>
        <v>6</v>
      </c>
      <c r="AL27" s="111">
        <f t="shared" si="1"/>
        <v>1</v>
      </c>
      <c r="AM27" s="47"/>
      <c r="AN27" s="21"/>
      <c r="AO27" s="49"/>
    </row>
    <row r="28" spans="1:41" ht="30" x14ac:dyDescent="0.25">
      <c r="A28" s="185"/>
      <c r="B28" s="174" t="s">
        <v>25</v>
      </c>
      <c r="C28" s="175" t="s">
        <v>28</v>
      </c>
      <c r="D28" s="181" t="s">
        <v>266</v>
      </c>
      <c r="E28" s="182" t="s">
        <v>267</v>
      </c>
      <c r="F28" s="177" t="s">
        <v>29</v>
      </c>
      <c r="G28" s="178" t="s">
        <v>237</v>
      </c>
      <c r="H28" s="96" t="s">
        <v>18</v>
      </c>
      <c r="I28" s="109"/>
      <c r="J28" s="109"/>
      <c r="K28" s="109"/>
      <c r="L28" s="157"/>
      <c r="M28" s="157"/>
      <c r="N28" s="159"/>
      <c r="O28" s="159"/>
      <c r="P28" s="159"/>
      <c r="Q28" s="161"/>
      <c r="R28" s="161">
        <v>0.5</v>
      </c>
      <c r="S28" s="161">
        <v>1</v>
      </c>
      <c r="T28" s="163">
        <v>1</v>
      </c>
      <c r="U28" s="163">
        <v>1</v>
      </c>
      <c r="V28" s="165">
        <v>1</v>
      </c>
      <c r="W28" s="165">
        <v>1</v>
      </c>
      <c r="X28" s="167">
        <v>0.5</v>
      </c>
      <c r="Y28" s="167">
        <v>0.5</v>
      </c>
      <c r="Z28" s="109"/>
      <c r="AA28" s="109"/>
      <c r="AB28" s="109"/>
      <c r="AC28" s="109"/>
      <c r="AD28" s="109"/>
      <c r="AE28" s="109"/>
      <c r="AF28" s="109"/>
      <c r="AG28" s="109"/>
      <c r="AH28" s="109"/>
      <c r="AI28" s="109"/>
      <c r="AJ28" s="109"/>
      <c r="AK28" s="110">
        <f t="shared" si="0"/>
        <v>6.5</v>
      </c>
      <c r="AL28" s="111">
        <f t="shared" si="1"/>
        <v>1</v>
      </c>
      <c r="AM28" s="47"/>
      <c r="AN28" s="21"/>
      <c r="AO28" s="49"/>
    </row>
    <row r="29" spans="1:41" ht="45" x14ac:dyDescent="0.25">
      <c r="A29" s="185"/>
      <c r="B29" s="174" t="s">
        <v>25</v>
      </c>
      <c r="C29" s="175" t="s">
        <v>28</v>
      </c>
      <c r="D29" s="176" t="s">
        <v>268</v>
      </c>
      <c r="E29" s="177" t="s">
        <v>269</v>
      </c>
      <c r="F29" s="177" t="s">
        <v>29</v>
      </c>
      <c r="G29" s="178" t="s">
        <v>237</v>
      </c>
      <c r="H29" s="96" t="s">
        <v>18</v>
      </c>
      <c r="I29" s="109"/>
      <c r="J29" s="109"/>
      <c r="K29" s="109"/>
      <c r="L29" s="157"/>
      <c r="M29" s="157"/>
      <c r="N29" s="159"/>
      <c r="O29" s="159"/>
      <c r="P29" s="159"/>
      <c r="Q29" s="161"/>
      <c r="R29" s="161">
        <v>1</v>
      </c>
      <c r="S29" s="161">
        <v>1</v>
      </c>
      <c r="T29" s="163">
        <v>1.5</v>
      </c>
      <c r="U29" s="163">
        <v>1.5</v>
      </c>
      <c r="V29" s="165">
        <v>1.5</v>
      </c>
      <c r="W29" s="165">
        <v>1</v>
      </c>
      <c r="X29" s="167">
        <v>1</v>
      </c>
      <c r="Y29" s="167">
        <v>1</v>
      </c>
      <c r="Z29" s="109"/>
      <c r="AA29" s="109"/>
      <c r="AB29" s="109"/>
      <c r="AC29" s="109"/>
      <c r="AD29" s="109"/>
      <c r="AE29" s="109"/>
      <c r="AF29" s="109"/>
      <c r="AG29" s="109"/>
      <c r="AH29" s="109"/>
      <c r="AI29" s="109"/>
      <c r="AJ29" s="109"/>
      <c r="AK29" s="110">
        <f t="shared" ref="AK29:AK48" si="2">SUM(I29:AJ29)</f>
        <v>9.5</v>
      </c>
      <c r="AL29" s="111">
        <f t="shared" ref="AL29:AL48" si="3">MAX(I29:AJ29)</f>
        <v>1.5</v>
      </c>
      <c r="AM29" s="47"/>
      <c r="AN29" s="21"/>
      <c r="AO29" s="49"/>
    </row>
    <row r="30" spans="1:41" ht="30" x14ac:dyDescent="0.25">
      <c r="A30" s="185"/>
      <c r="B30" s="174" t="s">
        <v>25</v>
      </c>
      <c r="C30" s="175" t="s">
        <v>28</v>
      </c>
      <c r="D30" s="176" t="s">
        <v>270</v>
      </c>
      <c r="E30" s="177" t="s">
        <v>271</v>
      </c>
      <c r="F30" s="177" t="s">
        <v>29</v>
      </c>
      <c r="G30" s="178" t="s">
        <v>237</v>
      </c>
      <c r="H30" s="96" t="s">
        <v>18</v>
      </c>
      <c r="I30" s="109"/>
      <c r="J30" s="109"/>
      <c r="K30" s="109"/>
      <c r="L30" s="157"/>
      <c r="M30" s="157"/>
      <c r="N30" s="159"/>
      <c r="O30" s="159"/>
      <c r="P30" s="159"/>
      <c r="Q30" s="161"/>
      <c r="R30" s="161">
        <v>0.5</v>
      </c>
      <c r="S30" s="161">
        <v>0.5</v>
      </c>
      <c r="T30" s="163">
        <v>1</v>
      </c>
      <c r="U30" s="163">
        <v>1</v>
      </c>
      <c r="V30" s="165">
        <v>1</v>
      </c>
      <c r="W30" s="165">
        <v>1</v>
      </c>
      <c r="X30" s="167">
        <v>0.5</v>
      </c>
      <c r="Y30" s="167">
        <v>0.5</v>
      </c>
      <c r="Z30" s="109"/>
      <c r="AA30" s="109"/>
      <c r="AB30" s="109"/>
      <c r="AC30" s="109"/>
      <c r="AD30" s="109"/>
      <c r="AE30" s="109"/>
      <c r="AF30" s="109"/>
      <c r="AG30" s="109"/>
      <c r="AH30" s="109"/>
      <c r="AI30" s="109"/>
      <c r="AJ30" s="109"/>
      <c r="AK30" s="110">
        <f t="shared" si="2"/>
        <v>6</v>
      </c>
      <c r="AL30" s="111">
        <f t="shared" si="3"/>
        <v>1</v>
      </c>
      <c r="AM30" s="47"/>
      <c r="AN30" s="21"/>
      <c r="AO30" s="49"/>
    </row>
    <row r="31" spans="1:41" ht="30" x14ac:dyDescent="0.25">
      <c r="A31" s="185"/>
      <c r="B31" s="174" t="s">
        <v>25</v>
      </c>
      <c r="C31" s="175" t="s">
        <v>28</v>
      </c>
      <c r="D31" s="176" t="s">
        <v>272</v>
      </c>
      <c r="E31" s="177" t="s">
        <v>273</v>
      </c>
      <c r="F31" s="177" t="s">
        <v>29</v>
      </c>
      <c r="G31" s="178" t="s">
        <v>237</v>
      </c>
      <c r="H31" s="96" t="s">
        <v>18</v>
      </c>
      <c r="I31" s="109"/>
      <c r="J31" s="109"/>
      <c r="K31" s="109"/>
      <c r="L31" s="157"/>
      <c r="M31" s="157"/>
      <c r="N31" s="159"/>
      <c r="O31" s="159"/>
      <c r="P31" s="159"/>
      <c r="Q31" s="161"/>
      <c r="R31" s="161">
        <v>1</v>
      </c>
      <c r="S31" s="161">
        <v>1</v>
      </c>
      <c r="T31" s="163">
        <v>2</v>
      </c>
      <c r="U31" s="163">
        <v>2</v>
      </c>
      <c r="V31" s="165">
        <v>2</v>
      </c>
      <c r="W31" s="165">
        <v>1</v>
      </c>
      <c r="X31" s="167">
        <v>1</v>
      </c>
      <c r="Y31" s="167">
        <v>1</v>
      </c>
      <c r="Z31" s="109"/>
      <c r="AA31" s="109"/>
      <c r="AB31" s="109"/>
      <c r="AC31" s="109"/>
      <c r="AD31" s="109"/>
      <c r="AE31" s="109"/>
      <c r="AF31" s="109"/>
      <c r="AG31" s="109"/>
      <c r="AH31" s="109"/>
      <c r="AI31" s="109"/>
      <c r="AJ31" s="109"/>
      <c r="AK31" s="110">
        <f t="shared" si="2"/>
        <v>11</v>
      </c>
      <c r="AL31" s="111">
        <f t="shared" si="3"/>
        <v>2</v>
      </c>
      <c r="AM31" s="47"/>
      <c r="AN31" s="21"/>
      <c r="AO31" s="49"/>
    </row>
    <row r="32" spans="1:41" x14ac:dyDescent="0.25">
      <c r="A32" s="185"/>
      <c r="B32" s="174" t="s">
        <v>25</v>
      </c>
      <c r="C32" s="175" t="s">
        <v>28</v>
      </c>
      <c r="D32" s="176" t="s">
        <v>274</v>
      </c>
      <c r="E32" s="177" t="s">
        <v>275</v>
      </c>
      <c r="F32" s="177" t="s">
        <v>29</v>
      </c>
      <c r="G32" s="178" t="s">
        <v>237</v>
      </c>
      <c r="H32" s="96" t="s">
        <v>18</v>
      </c>
      <c r="I32" s="109"/>
      <c r="J32" s="109"/>
      <c r="K32" s="109"/>
      <c r="L32" s="157"/>
      <c r="M32" s="157"/>
      <c r="N32" s="159"/>
      <c r="O32" s="159"/>
      <c r="P32" s="159"/>
      <c r="Q32" s="161"/>
      <c r="R32" s="161">
        <v>0</v>
      </c>
      <c r="S32" s="161">
        <v>0.5</v>
      </c>
      <c r="T32" s="163">
        <v>0.5</v>
      </c>
      <c r="U32" s="163">
        <v>1</v>
      </c>
      <c r="V32" s="165">
        <v>1</v>
      </c>
      <c r="W32" s="165">
        <v>1</v>
      </c>
      <c r="X32" s="167">
        <v>1</v>
      </c>
      <c r="Y32" s="167">
        <v>1</v>
      </c>
      <c r="Z32" s="109"/>
      <c r="AA32" s="109"/>
      <c r="AB32" s="109"/>
      <c r="AC32" s="109"/>
      <c r="AD32" s="109"/>
      <c r="AE32" s="109"/>
      <c r="AF32" s="109"/>
      <c r="AG32" s="109"/>
      <c r="AH32" s="109"/>
      <c r="AI32" s="109"/>
      <c r="AJ32" s="109"/>
      <c r="AK32" s="110">
        <f t="shared" si="2"/>
        <v>6</v>
      </c>
      <c r="AL32" s="111">
        <f t="shared" si="3"/>
        <v>1</v>
      </c>
      <c r="AM32" s="47"/>
      <c r="AN32" s="21"/>
      <c r="AO32" s="49"/>
    </row>
    <row r="33" spans="1:41" ht="30" x14ac:dyDescent="0.25">
      <c r="A33" s="185"/>
      <c r="B33" s="174" t="s">
        <v>25</v>
      </c>
      <c r="C33" s="175" t="s">
        <v>28</v>
      </c>
      <c r="D33" s="176" t="s">
        <v>234</v>
      </c>
      <c r="E33" s="177" t="s">
        <v>276</v>
      </c>
      <c r="F33" s="177" t="s">
        <v>29</v>
      </c>
      <c r="G33" s="178" t="s">
        <v>237</v>
      </c>
      <c r="H33" s="96" t="s">
        <v>18</v>
      </c>
      <c r="I33" s="109"/>
      <c r="J33" s="109"/>
      <c r="K33" s="109"/>
      <c r="L33" s="157"/>
      <c r="M33" s="157"/>
      <c r="N33" s="159"/>
      <c r="O33" s="159"/>
      <c r="P33" s="159"/>
      <c r="Q33" s="161"/>
      <c r="R33" s="161">
        <v>0.5</v>
      </c>
      <c r="S33" s="161">
        <v>0.5</v>
      </c>
      <c r="T33" s="163">
        <v>1</v>
      </c>
      <c r="U33" s="163">
        <v>1</v>
      </c>
      <c r="V33" s="165">
        <v>1</v>
      </c>
      <c r="W33" s="165">
        <v>1</v>
      </c>
      <c r="X33" s="167">
        <v>0.5</v>
      </c>
      <c r="Y33" s="167">
        <v>0.5</v>
      </c>
      <c r="Z33" s="109"/>
      <c r="AA33" s="109"/>
      <c r="AB33" s="109"/>
      <c r="AC33" s="109"/>
      <c r="AD33" s="109"/>
      <c r="AE33" s="109"/>
      <c r="AF33" s="109"/>
      <c r="AG33" s="109"/>
      <c r="AH33" s="109"/>
      <c r="AI33" s="109"/>
      <c r="AJ33" s="109"/>
      <c r="AK33" s="110">
        <f t="shared" si="2"/>
        <v>6</v>
      </c>
      <c r="AL33" s="111">
        <f t="shared" si="3"/>
        <v>1</v>
      </c>
      <c r="AM33" s="47"/>
      <c r="AN33" s="21"/>
      <c r="AO33" s="49"/>
    </row>
    <row r="34" spans="1:41" x14ac:dyDescent="0.25">
      <c r="A34" s="185"/>
      <c r="B34" s="174" t="s">
        <v>25</v>
      </c>
      <c r="C34" s="175" t="s">
        <v>28</v>
      </c>
      <c r="D34" s="176" t="s">
        <v>277</v>
      </c>
      <c r="E34" s="177" t="s">
        <v>278</v>
      </c>
      <c r="F34" s="177" t="s">
        <v>29</v>
      </c>
      <c r="G34" s="178" t="s">
        <v>237</v>
      </c>
      <c r="H34" s="96" t="s">
        <v>18</v>
      </c>
      <c r="I34" s="109"/>
      <c r="J34" s="109"/>
      <c r="K34" s="109"/>
      <c r="L34" s="157">
        <v>0.5</v>
      </c>
      <c r="M34" s="157">
        <v>0.5</v>
      </c>
      <c r="N34" s="159">
        <v>0.5</v>
      </c>
      <c r="O34" s="159">
        <v>0.5</v>
      </c>
      <c r="P34" s="159">
        <v>0.5</v>
      </c>
      <c r="Q34" s="161">
        <v>0.5</v>
      </c>
      <c r="R34" s="161">
        <v>0.5</v>
      </c>
      <c r="S34" s="161">
        <v>0.5</v>
      </c>
      <c r="T34" s="163">
        <v>0.5</v>
      </c>
      <c r="U34" s="163">
        <v>0.5</v>
      </c>
      <c r="V34" s="165">
        <v>0.5</v>
      </c>
      <c r="W34" s="165">
        <v>0.5</v>
      </c>
      <c r="X34" s="167">
        <v>0.5</v>
      </c>
      <c r="Y34" s="167">
        <v>0.5</v>
      </c>
      <c r="Z34" s="109"/>
      <c r="AA34" s="109"/>
      <c r="AB34" s="109"/>
      <c r="AC34" s="109"/>
      <c r="AD34" s="109"/>
      <c r="AE34" s="109"/>
      <c r="AF34" s="109"/>
      <c r="AG34" s="109"/>
      <c r="AH34" s="109"/>
      <c r="AI34" s="109"/>
      <c r="AJ34" s="109"/>
      <c r="AK34" s="110">
        <f t="shared" si="2"/>
        <v>7</v>
      </c>
      <c r="AL34" s="111">
        <f t="shared" si="3"/>
        <v>0.5</v>
      </c>
      <c r="AM34" s="47"/>
      <c r="AN34" s="21"/>
      <c r="AO34" s="49"/>
    </row>
    <row r="35" spans="1:41" x14ac:dyDescent="0.25">
      <c r="A35" s="185"/>
      <c r="B35" s="169" t="s">
        <v>25</v>
      </c>
      <c r="C35" s="170" t="s">
        <v>28</v>
      </c>
      <c r="D35" s="183" t="s">
        <v>280</v>
      </c>
      <c r="E35" s="184" t="s">
        <v>281</v>
      </c>
      <c r="F35" s="172" t="s">
        <v>29</v>
      </c>
      <c r="G35" s="173" t="s">
        <v>284</v>
      </c>
      <c r="H35" s="96" t="s">
        <v>18</v>
      </c>
      <c r="I35" s="109"/>
      <c r="J35" s="109"/>
      <c r="K35" s="109"/>
      <c r="L35" s="157"/>
      <c r="M35" s="157"/>
      <c r="N35" s="159"/>
      <c r="O35" s="159"/>
      <c r="P35" s="159"/>
      <c r="Q35" s="161"/>
      <c r="R35" s="161"/>
      <c r="S35" s="161">
        <v>2</v>
      </c>
      <c r="T35" s="163">
        <v>4</v>
      </c>
      <c r="U35" s="163">
        <v>5</v>
      </c>
      <c r="V35" s="165">
        <v>5</v>
      </c>
      <c r="W35" s="165">
        <v>4</v>
      </c>
      <c r="X35" s="167">
        <v>2</v>
      </c>
      <c r="Y35" s="167">
        <v>2</v>
      </c>
      <c r="Z35" s="109"/>
      <c r="AA35" s="109"/>
      <c r="AB35" s="109"/>
      <c r="AC35" s="109"/>
      <c r="AD35" s="109"/>
      <c r="AE35" s="109"/>
      <c r="AF35" s="109"/>
      <c r="AG35" s="109"/>
      <c r="AH35" s="109"/>
      <c r="AI35" s="109"/>
      <c r="AJ35" s="109"/>
      <c r="AK35" s="110">
        <f t="shared" si="2"/>
        <v>24</v>
      </c>
      <c r="AL35" s="111">
        <f t="shared" si="3"/>
        <v>5</v>
      </c>
      <c r="AM35" s="47"/>
      <c r="AN35" s="21"/>
      <c r="AO35" s="49"/>
    </row>
    <row r="36" spans="1:41" x14ac:dyDescent="0.25">
      <c r="A36" s="185"/>
      <c r="B36" s="174" t="s">
        <v>25</v>
      </c>
      <c r="C36" s="175" t="s">
        <v>28</v>
      </c>
      <c r="D36" s="176" t="s">
        <v>282</v>
      </c>
      <c r="E36" s="177" t="s">
        <v>283</v>
      </c>
      <c r="F36" s="177" t="s">
        <v>22</v>
      </c>
      <c r="G36" s="178" t="s">
        <v>284</v>
      </c>
      <c r="H36" s="96" t="s">
        <v>18</v>
      </c>
      <c r="I36" s="109"/>
      <c r="J36" s="109"/>
      <c r="K36" s="109"/>
      <c r="L36" s="157"/>
      <c r="M36" s="157"/>
      <c r="N36" s="159"/>
      <c r="O36" s="159"/>
      <c r="P36" s="159"/>
      <c r="Q36" s="161"/>
      <c r="R36" s="161">
        <v>0.1</v>
      </c>
      <c r="S36" s="161">
        <v>0.2</v>
      </c>
      <c r="T36" s="163">
        <v>0.2</v>
      </c>
      <c r="U36" s="163">
        <v>0.1</v>
      </c>
      <c r="V36" s="165">
        <v>0.1</v>
      </c>
      <c r="W36" s="165">
        <v>0.1</v>
      </c>
      <c r="X36" s="167">
        <v>0.1</v>
      </c>
      <c r="Y36" s="167">
        <v>0.1</v>
      </c>
      <c r="Z36" s="109"/>
      <c r="AA36" s="109"/>
      <c r="AB36" s="109"/>
      <c r="AC36" s="109"/>
      <c r="AD36" s="109"/>
      <c r="AE36" s="109"/>
      <c r="AF36" s="109"/>
      <c r="AG36" s="109"/>
      <c r="AH36" s="109"/>
      <c r="AI36" s="109"/>
      <c r="AJ36" s="109"/>
      <c r="AK36" s="110">
        <f t="shared" si="2"/>
        <v>0.99999999999999989</v>
      </c>
      <c r="AL36" s="111">
        <f t="shared" si="3"/>
        <v>0.2</v>
      </c>
      <c r="AM36" s="47"/>
      <c r="AN36" s="21"/>
      <c r="AO36" s="49"/>
    </row>
    <row r="37" spans="1:41" x14ac:dyDescent="0.25">
      <c r="A37" s="50"/>
      <c r="B37" s="51"/>
      <c r="C37" s="53"/>
      <c r="D37" s="83"/>
      <c r="E37" s="83"/>
      <c r="F37" s="83"/>
      <c r="G37" s="52"/>
      <c r="H37" s="96"/>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10">
        <f t="shared" si="2"/>
        <v>0</v>
      </c>
      <c r="AL37" s="111">
        <f t="shared" si="3"/>
        <v>0</v>
      </c>
      <c r="AM37" s="47"/>
      <c r="AN37" s="21"/>
      <c r="AO37" s="49"/>
    </row>
    <row r="38" spans="1:41" x14ac:dyDescent="0.25">
      <c r="A38" s="50"/>
      <c r="B38" s="51"/>
      <c r="C38" s="53"/>
      <c r="D38" s="83"/>
      <c r="E38" s="83"/>
      <c r="F38" s="83"/>
      <c r="G38" s="52"/>
      <c r="H38" s="96"/>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10">
        <f t="shared" si="2"/>
        <v>0</v>
      </c>
      <c r="AL38" s="111">
        <f t="shared" si="3"/>
        <v>0</v>
      </c>
      <c r="AM38" s="47"/>
      <c r="AN38" s="21"/>
      <c r="AO38" s="49"/>
    </row>
    <row r="39" spans="1:41" x14ac:dyDescent="0.25">
      <c r="A39" s="50"/>
      <c r="B39" s="51"/>
      <c r="C39" s="53"/>
      <c r="D39" s="83"/>
      <c r="E39" s="83"/>
      <c r="F39" s="83"/>
      <c r="G39" s="52"/>
      <c r="H39" s="96"/>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10">
        <f t="shared" si="2"/>
        <v>0</v>
      </c>
      <c r="AL39" s="111">
        <f t="shared" si="3"/>
        <v>0</v>
      </c>
      <c r="AM39" s="47"/>
      <c r="AN39" s="21"/>
      <c r="AO39" s="49"/>
    </row>
    <row r="40" spans="1:41" x14ac:dyDescent="0.25">
      <c r="A40" s="50"/>
      <c r="B40" s="51"/>
      <c r="C40" s="53"/>
      <c r="D40" s="83"/>
      <c r="E40" s="83"/>
      <c r="F40" s="83"/>
      <c r="G40" s="52"/>
      <c r="H40" s="96"/>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10">
        <f t="shared" si="2"/>
        <v>0</v>
      </c>
      <c r="AL40" s="111">
        <f t="shared" si="3"/>
        <v>0</v>
      </c>
      <c r="AM40" s="47"/>
      <c r="AN40" s="21"/>
      <c r="AO40" s="49"/>
    </row>
    <row r="41" spans="1:41" x14ac:dyDescent="0.25">
      <c r="A41" s="50"/>
      <c r="B41" s="51"/>
      <c r="C41" s="53"/>
      <c r="D41" s="83"/>
      <c r="E41" s="83"/>
      <c r="F41" s="83"/>
      <c r="G41" s="52"/>
      <c r="H41" s="96"/>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10">
        <f t="shared" si="2"/>
        <v>0</v>
      </c>
      <c r="AL41" s="111">
        <f t="shared" si="3"/>
        <v>0</v>
      </c>
      <c r="AM41" s="47"/>
      <c r="AN41" s="21"/>
      <c r="AO41" s="49"/>
    </row>
    <row r="42" spans="1:41" x14ac:dyDescent="0.25">
      <c r="A42" s="50"/>
      <c r="B42" s="51"/>
      <c r="C42" s="53"/>
      <c r="D42" s="83"/>
      <c r="E42" s="83"/>
      <c r="F42" s="83"/>
      <c r="G42" s="52"/>
      <c r="H42" s="96"/>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10">
        <f t="shared" si="2"/>
        <v>0</v>
      </c>
      <c r="AL42" s="111">
        <f t="shared" si="3"/>
        <v>0</v>
      </c>
      <c r="AM42" s="47"/>
      <c r="AN42" s="21"/>
      <c r="AO42" s="49"/>
    </row>
    <row r="43" spans="1:41" x14ac:dyDescent="0.25">
      <c r="A43" s="50" t="str" cm="1">
        <f t="array" aca="1" ref="A43" ca="1">IFERROR(IF(#REF!&gt;0,IF(_xlfn.XLOOKUP(G43,INDIRECT(B43),INDIRECT(B43),"NO")="NO","",_xlfn.XLOOKUP($C43,LUT!$B$3:$B$200,LUT!$D$3:$D$200,"")&amp;""),""),"")</f>
        <v/>
      </c>
      <c r="B43" s="51"/>
      <c r="C43" s="53"/>
      <c r="D43" s="83"/>
      <c r="E43" s="83"/>
      <c r="F43" s="83"/>
      <c r="G43" s="52"/>
      <c r="H43" s="96"/>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10">
        <f t="shared" si="2"/>
        <v>0</v>
      </c>
      <c r="AL43" s="111">
        <f t="shared" si="3"/>
        <v>0</v>
      </c>
      <c r="AM43" s="47"/>
      <c r="AN43" s="21"/>
      <c r="AO43" s="49"/>
    </row>
    <row r="44" spans="1:41" x14ac:dyDescent="0.25">
      <c r="A44" s="50" t="str" cm="1">
        <f t="array" aca="1" ref="A44" ca="1">IFERROR(IF(#REF!&gt;0,IF(_xlfn.XLOOKUP(G44,INDIRECT(B44),INDIRECT(B44),"NO")="NO","",_xlfn.XLOOKUP($C44,LUT!$B$3:$B$200,LUT!$D$3:$D$200,"")&amp;""),""),"")</f>
        <v/>
      </c>
      <c r="B44" s="51"/>
      <c r="C44" s="53"/>
      <c r="D44" s="83"/>
      <c r="E44" s="83"/>
      <c r="F44" s="83"/>
      <c r="G44" s="52"/>
      <c r="H44" s="96"/>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10">
        <f t="shared" si="2"/>
        <v>0</v>
      </c>
      <c r="AL44" s="111">
        <f t="shared" si="3"/>
        <v>0</v>
      </c>
      <c r="AM44" s="47"/>
      <c r="AN44" s="21"/>
      <c r="AO44" s="49"/>
    </row>
    <row r="45" spans="1:41" x14ac:dyDescent="0.25">
      <c r="A45" s="50" t="str" cm="1">
        <f t="array" aca="1" ref="A45" ca="1">IFERROR(IF(#REF!&gt;0,IF(_xlfn.XLOOKUP(G45,INDIRECT(B45),INDIRECT(B45),"NO")="NO","",_xlfn.XLOOKUP($C45,LUT!$B$3:$B$200,LUT!$D$3:$D$200,"")&amp;""),""),"")</f>
        <v/>
      </c>
      <c r="B45" s="51"/>
      <c r="C45" s="53"/>
      <c r="D45" s="83"/>
      <c r="E45" s="83"/>
      <c r="F45" s="83"/>
      <c r="G45" s="52"/>
      <c r="H45" s="96"/>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10">
        <f t="shared" si="2"/>
        <v>0</v>
      </c>
      <c r="AL45" s="111">
        <f t="shared" si="3"/>
        <v>0</v>
      </c>
      <c r="AM45" s="47"/>
      <c r="AN45" s="21"/>
      <c r="AO45" s="49"/>
    </row>
    <row r="46" spans="1:41" x14ac:dyDescent="0.25">
      <c r="A46" s="50" t="str" cm="1">
        <f t="array" aca="1" ref="A46" ca="1">IFERROR(IF(#REF!&gt;0,IF(_xlfn.XLOOKUP(G46,INDIRECT(B46),INDIRECT(B46),"NO")="NO","",_xlfn.XLOOKUP($C46,LUT!$B$3:$B$200,LUT!$D$3:$D$200,"")&amp;""),""),"")</f>
        <v/>
      </c>
      <c r="B46" s="51"/>
      <c r="C46" s="53"/>
      <c r="D46" s="83"/>
      <c r="E46" s="83"/>
      <c r="F46" s="83"/>
      <c r="G46" s="52"/>
      <c r="H46" s="96"/>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10">
        <f t="shared" si="2"/>
        <v>0</v>
      </c>
      <c r="AL46" s="111">
        <f t="shared" si="3"/>
        <v>0</v>
      </c>
      <c r="AM46" s="47"/>
      <c r="AN46" s="21"/>
      <c r="AO46" s="49"/>
    </row>
    <row r="47" spans="1:41" x14ac:dyDescent="0.25">
      <c r="A47" s="50" t="str" cm="1">
        <f t="array" aca="1" ref="A47" ca="1">IFERROR(IF(#REF!&gt;0,IF(_xlfn.XLOOKUP(G47,INDIRECT(B47),INDIRECT(B47),"NO")="NO","",_xlfn.XLOOKUP($C47,LUT!$B$3:$B$200,LUT!$D$3:$D$200,"")&amp;""),""),"")</f>
        <v/>
      </c>
      <c r="B47" s="51"/>
      <c r="C47" s="53"/>
      <c r="D47" s="83"/>
      <c r="E47" s="83"/>
      <c r="F47" s="83"/>
      <c r="G47" s="52"/>
      <c r="H47" s="96"/>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10">
        <f t="shared" si="2"/>
        <v>0</v>
      </c>
      <c r="AL47" s="111">
        <f t="shared" si="3"/>
        <v>0</v>
      </c>
      <c r="AM47" s="47"/>
      <c r="AN47" s="21"/>
      <c r="AO47" s="49"/>
    </row>
    <row r="48" spans="1:41" x14ac:dyDescent="0.25">
      <c r="A48" s="50" t="str" cm="1">
        <f t="array" aca="1" ref="A48" ca="1">IFERROR(IF(#REF!&gt;0,IF(_xlfn.XLOOKUP(G48,INDIRECT(B48),INDIRECT(B48),"NO")="NO","",_xlfn.XLOOKUP($C48,LUT!$B$3:$B$200,LUT!$D$3:$D$200,"")&amp;""),""),"")</f>
        <v/>
      </c>
      <c r="B48" s="51"/>
      <c r="C48" s="53"/>
      <c r="D48" s="83"/>
      <c r="E48" s="83"/>
      <c r="F48" s="83"/>
      <c r="G48" s="52"/>
      <c r="H48" s="96"/>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10">
        <f t="shared" si="2"/>
        <v>0</v>
      </c>
      <c r="AL48" s="111">
        <f t="shared" si="3"/>
        <v>0</v>
      </c>
      <c r="AM48" s="47"/>
      <c r="AN48" s="21"/>
      <c r="AO48" s="49"/>
    </row>
    <row r="49" spans="1:41" x14ac:dyDescent="0.25">
      <c r="A49" s="50" t="str" cm="1">
        <f t="array" aca="1" ref="A49" ca="1">IFERROR(IF(#REF!&gt;0,IF(_xlfn.XLOOKUP(G49,INDIRECT(B49),INDIRECT(B49),"NO")="NO","",_xlfn.XLOOKUP($C49,LUT!$B$3:$B$200,LUT!$D$3:$D$200,"")&amp;""),""),"")</f>
        <v/>
      </c>
      <c r="B49" s="51"/>
      <c r="C49" s="53"/>
      <c r="D49" s="83"/>
      <c r="E49" s="83"/>
      <c r="F49" s="83"/>
      <c r="G49" s="52"/>
      <c r="H49" s="96"/>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10">
        <f t="shared" ref="AK49:AK66" si="4">SUM(I49:AJ49)</f>
        <v>0</v>
      </c>
      <c r="AL49" s="111">
        <f t="shared" ref="AL49:AL66" si="5">MAX(I49:AJ49)</f>
        <v>0</v>
      </c>
      <c r="AM49" s="47"/>
      <c r="AN49" s="21"/>
      <c r="AO49" s="49"/>
    </row>
    <row r="50" spans="1:41" x14ac:dyDescent="0.25">
      <c r="A50" s="50" t="str" cm="1">
        <f t="array" aca="1" ref="A50" ca="1">IFERROR(IF(#REF!&gt;0,IF(_xlfn.XLOOKUP(G50,INDIRECT(B50),INDIRECT(B50),"NO")="NO","",_xlfn.XLOOKUP($C50,LUT!$B$3:$B$200,LUT!$D$3:$D$200,"")&amp;""),""),"")</f>
        <v/>
      </c>
      <c r="B50" s="51"/>
      <c r="C50" s="53"/>
      <c r="D50" s="83"/>
      <c r="E50" s="83"/>
      <c r="F50" s="83"/>
      <c r="G50" s="52"/>
      <c r="H50" s="96"/>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10">
        <f t="shared" si="4"/>
        <v>0</v>
      </c>
      <c r="AL50" s="111">
        <f t="shared" si="5"/>
        <v>0</v>
      </c>
      <c r="AM50" s="47"/>
      <c r="AN50" s="21"/>
      <c r="AO50" s="49"/>
    </row>
    <row r="51" spans="1:41" x14ac:dyDescent="0.25">
      <c r="A51" s="50" t="str" cm="1">
        <f t="array" aca="1" ref="A51" ca="1">IFERROR(IF(#REF!&gt;0,IF(_xlfn.XLOOKUP(G51,INDIRECT(B51),INDIRECT(B51),"NO")="NO","",_xlfn.XLOOKUP($C51,LUT!$B$3:$B$200,LUT!$D$3:$D$200,"")&amp;""),""),"")</f>
        <v/>
      </c>
      <c r="B51" s="51"/>
      <c r="C51" s="53"/>
      <c r="D51" s="83"/>
      <c r="E51" s="83"/>
      <c r="F51" s="83"/>
      <c r="G51" s="52"/>
      <c r="H51" s="96"/>
      <c r="I51" s="109"/>
      <c r="J51" s="109"/>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10">
        <f t="shared" si="4"/>
        <v>0</v>
      </c>
      <c r="AL51" s="111">
        <f t="shared" si="5"/>
        <v>0</v>
      </c>
      <c r="AM51" s="47"/>
      <c r="AN51" s="21"/>
      <c r="AO51" s="49"/>
    </row>
    <row r="52" spans="1:41" x14ac:dyDescent="0.25">
      <c r="A52" s="50" t="str" cm="1">
        <f t="array" aca="1" ref="A52" ca="1">IFERROR(IF(#REF!&gt;0,IF(_xlfn.XLOOKUP(G52,INDIRECT(B52),INDIRECT(B52),"NO")="NO","",_xlfn.XLOOKUP($C52,LUT!$B$3:$B$200,LUT!$D$3:$D$200,"")&amp;""),""),"")</f>
        <v/>
      </c>
      <c r="B52" s="51"/>
      <c r="C52" s="53"/>
      <c r="D52" s="83"/>
      <c r="E52" s="83"/>
      <c r="F52" s="83"/>
      <c r="G52" s="52"/>
      <c r="H52" s="96"/>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10">
        <f t="shared" si="4"/>
        <v>0</v>
      </c>
      <c r="AL52" s="111">
        <f t="shared" si="5"/>
        <v>0</v>
      </c>
      <c r="AM52" s="47"/>
      <c r="AN52" s="21"/>
      <c r="AO52" s="49"/>
    </row>
    <row r="53" spans="1:41" x14ac:dyDescent="0.25">
      <c r="A53" s="50" t="str" cm="1">
        <f t="array" aca="1" ref="A53" ca="1">IFERROR(IF(#REF!&gt;0,IF(_xlfn.XLOOKUP(G53,INDIRECT(B53),INDIRECT(B53),"NO")="NO","",_xlfn.XLOOKUP($C53,LUT!$B$3:$B$200,LUT!$D$3:$D$200,"")&amp;""),""),"")</f>
        <v/>
      </c>
      <c r="B53" s="51"/>
      <c r="C53" s="53"/>
      <c r="D53" s="83"/>
      <c r="E53" s="83"/>
      <c r="F53" s="83"/>
      <c r="G53" s="52"/>
      <c r="H53" s="96"/>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10">
        <f t="shared" si="4"/>
        <v>0</v>
      </c>
      <c r="AL53" s="111">
        <f t="shared" si="5"/>
        <v>0</v>
      </c>
      <c r="AM53" s="47"/>
      <c r="AN53" s="21"/>
      <c r="AO53" s="49"/>
    </row>
    <row r="54" spans="1:41" x14ac:dyDescent="0.25">
      <c r="A54" s="50" t="str" cm="1">
        <f t="array" aca="1" ref="A54" ca="1">IFERROR(IF(#REF!&gt;0,IF(_xlfn.XLOOKUP(G54,INDIRECT(B54),INDIRECT(B54),"NO")="NO","",_xlfn.XLOOKUP($C54,LUT!$B$3:$B$200,LUT!$D$3:$D$200,"")&amp;""),""),"")</f>
        <v/>
      </c>
      <c r="B54" s="51"/>
      <c r="C54" s="53"/>
      <c r="D54" s="83"/>
      <c r="E54" s="83"/>
      <c r="F54" s="83"/>
      <c r="G54" s="52"/>
      <c r="H54" s="96"/>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10">
        <f t="shared" si="4"/>
        <v>0</v>
      </c>
      <c r="AL54" s="111">
        <f t="shared" si="5"/>
        <v>0</v>
      </c>
      <c r="AM54" s="47"/>
      <c r="AN54" s="21"/>
      <c r="AO54" s="49"/>
    </row>
    <row r="55" spans="1:41" x14ac:dyDescent="0.25">
      <c r="A55" s="50" t="str" cm="1">
        <f t="array" aca="1" ref="A55" ca="1">IFERROR(IF(#REF!&gt;0,IF(_xlfn.XLOOKUP(G55,INDIRECT(B55),INDIRECT(B55),"NO")="NO","",_xlfn.XLOOKUP($C55,LUT!$B$3:$B$200,LUT!$D$3:$D$200,"")&amp;""),""),"")</f>
        <v/>
      </c>
      <c r="B55" s="51"/>
      <c r="C55" s="53"/>
      <c r="D55" s="83"/>
      <c r="E55" s="83"/>
      <c r="F55" s="83"/>
      <c r="G55" s="52"/>
      <c r="H55" s="96"/>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10">
        <f t="shared" si="4"/>
        <v>0</v>
      </c>
      <c r="AL55" s="111">
        <f t="shared" si="5"/>
        <v>0</v>
      </c>
      <c r="AM55" s="47"/>
      <c r="AN55" s="21"/>
      <c r="AO55" s="49"/>
    </row>
    <row r="56" spans="1:41" x14ac:dyDescent="0.25">
      <c r="A56" s="50" t="str" cm="1">
        <f t="array" aca="1" ref="A56" ca="1">IFERROR(IF(#REF!&gt;0,IF(_xlfn.XLOOKUP(G56,INDIRECT(B56),INDIRECT(B56),"NO")="NO","",_xlfn.XLOOKUP($C56,LUT!$B$3:$B$200,LUT!$D$3:$D$200,"")&amp;""),""),"")</f>
        <v/>
      </c>
      <c r="B56" s="51"/>
      <c r="C56" s="53"/>
      <c r="D56" s="83"/>
      <c r="E56" s="83"/>
      <c r="F56" s="83"/>
      <c r="G56" s="52"/>
      <c r="H56" s="96"/>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10">
        <f t="shared" si="4"/>
        <v>0</v>
      </c>
      <c r="AL56" s="111">
        <f t="shared" si="5"/>
        <v>0</v>
      </c>
      <c r="AM56" s="47"/>
      <c r="AN56" s="21"/>
      <c r="AO56" s="49"/>
    </row>
    <row r="57" spans="1:41" x14ac:dyDescent="0.25">
      <c r="A57" s="50" t="str" cm="1">
        <f t="array" aca="1" ref="A57" ca="1">IFERROR(IF(#REF!&gt;0,IF(_xlfn.XLOOKUP(G57,INDIRECT(B57),INDIRECT(B57),"NO")="NO","",_xlfn.XLOOKUP($C57,LUT!$B$3:$B$200,LUT!$D$3:$D$200,"")&amp;""),""),"")</f>
        <v/>
      </c>
      <c r="B57" s="51"/>
      <c r="C57" s="53"/>
      <c r="D57" s="83"/>
      <c r="E57" s="83"/>
      <c r="F57" s="83"/>
      <c r="G57" s="52"/>
      <c r="H57" s="96"/>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10">
        <f t="shared" si="4"/>
        <v>0</v>
      </c>
      <c r="AL57" s="111">
        <f t="shared" si="5"/>
        <v>0</v>
      </c>
      <c r="AM57" s="47"/>
      <c r="AN57" s="21"/>
      <c r="AO57" s="49"/>
    </row>
    <row r="58" spans="1:41" x14ac:dyDescent="0.25">
      <c r="A58" s="50" t="str" cm="1">
        <f t="array" aca="1" ref="A58" ca="1">IFERROR(IF(#REF!&gt;0,IF(_xlfn.XLOOKUP(G58,INDIRECT(B58),INDIRECT(B58),"NO")="NO","",_xlfn.XLOOKUP($C58,LUT!$B$3:$B$200,LUT!$D$3:$D$200,"")&amp;""),""),"")</f>
        <v/>
      </c>
      <c r="B58" s="51"/>
      <c r="C58" s="53"/>
      <c r="D58" s="83"/>
      <c r="E58" s="83"/>
      <c r="F58" s="83"/>
      <c r="G58" s="52"/>
      <c r="H58" s="96"/>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10">
        <f t="shared" si="4"/>
        <v>0</v>
      </c>
      <c r="AL58" s="111">
        <f t="shared" si="5"/>
        <v>0</v>
      </c>
      <c r="AM58" s="47"/>
      <c r="AN58" s="21"/>
      <c r="AO58" s="49"/>
    </row>
    <row r="59" spans="1:41" x14ac:dyDescent="0.25">
      <c r="A59" s="50" t="str" cm="1">
        <f t="array" aca="1" ref="A59" ca="1">IFERROR(IF(#REF!&gt;0,IF(_xlfn.XLOOKUP(G59,INDIRECT(B59),INDIRECT(B59),"NO")="NO","",_xlfn.XLOOKUP($C59,LUT!$B$3:$B$200,LUT!$D$3:$D$200,"")&amp;""),""),"")</f>
        <v/>
      </c>
      <c r="B59" s="51"/>
      <c r="C59" s="53"/>
      <c r="D59" s="83"/>
      <c r="E59" s="83"/>
      <c r="F59" s="83"/>
      <c r="G59" s="52"/>
      <c r="H59" s="96"/>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10">
        <f t="shared" si="4"/>
        <v>0</v>
      </c>
      <c r="AL59" s="111">
        <f t="shared" si="5"/>
        <v>0</v>
      </c>
      <c r="AM59" s="47"/>
      <c r="AN59" s="21"/>
      <c r="AO59" s="49"/>
    </row>
    <row r="60" spans="1:41" x14ac:dyDescent="0.25">
      <c r="A60" s="50" t="str" cm="1">
        <f t="array" aca="1" ref="A60" ca="1">IFERROR(IF(#REF!&gt;0,IF(_xlfn.XLOOKUP(G60,INDIRECT(B60),INDIRECT(B60),"NO")="NO","",_xlfn.XLOOKUP($C60,LUT!$B$3:$B$200,LUT!$D$3:$D$200,"")&amp;""),""),"")</f>
        <v/>
      </c>
      <c r="B60" s="51"/>
      <c r="C60" s="53"/>
      <c r="D60" s="83"/>
      <c r="E60" s="83"/>
      <c r="F60" s="83"/>
      <c r="G60" s="52"/>
      <c r="H60" s="96"/>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10">
        <f t="shared" si="4"/>
        <v>0</v>
      </c>
      <c r="AL60" s="111">
        <f t="shared" si="5"/>
        <v>0</v>
      </c>
      <c r="AM60" s="47"/>
      <c r="AN60" s="21"/>
      <c r="AO60" s="49"/>
    </row>
    <row r="61" spans="1:41" x14ac:dyDescent="0.25">
      <c r="A61" s="50" t="str" cm="1">
        <f t="array" aca="1" ref="A61" ca="1">IFERROR(IF(#REF!&gt;0,IF(_xlfn.XLOOKUP(G61,INDIRECT(B61),INDIRECT(B61),"NO")="NO","",_xlfn.XLOOKUP($C61,LUT!$B$3:$B$200,LUT!$D$3:$D$200,"")&amp;""),""),"")</f>
        <v/>
      </c>
      <c r="B61" s="51"/>
      <c r="C61" s="53"/>
      <c r="D61" s="83"/>
      <c r="E61" s="83"/>
      <c r="F61" s="83"/>
      <c r="G61" s="52"/>
      <c r="H61" s="96"/>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10">
        <f t="shared" si="4"/>
        <v>0</v>
      </c>
      <c r="AL61" s="111">
        <f t="shared" si="5"/>
        <v>0</v>
      </c>
      <c r="AM61" s="47"/>
      <c r="AN61" s="21"/>
      <c r="AO61" s="49"/>
    </row>
    <row r="62" spans="1:41" x14ac:dyDescent="0.25">
      <c r="A62" s="50" t="str" cm="1">
        <f t="array" aca="1" ref="A62" ca="1">IFERROR(IF(#REF!&gt;0,IF(_xlfn.XLOOKUP(G62,INDIRECT(B62),INDIRECT(B62),"NO")="NO","",_xlfn.XLOOKUP($C62,LUT!$B$3:$B$200,LUT!$D$3:$D$200,"")&amp;""),""),"")</f>
        <v/>
      </c>
      <c r="B62" s="51"/>
      <c r="C62" s="53"/>
      <c r="D62" s="83"/>
      <c r="E62" s="83"/>
      <c r="F62" s="83"/>
      <c r="G62" s="52"/>
      <c r="H62" s="96"/>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10">
        <f t="shared" si="4"/>
        <v>0</v>
      </c>
      <c r="AL62" s="111">
        <f t="shared" si="5"/>
        <v>0</v>
      </c>
      <c r="AM62" s="47"/>
      <c r="AN62" s="21"/>
      <c r="AO62" s="49"/>
    </row>
    <row r="63" spans="1:41" x14ac:dyDescent="0.25">
      <c r="A63" s="50" t="str" cm="1">
        <f t="array" aca="1" ref="A63" ca="1">IFERROR(IF(#REF!&gt;0,IF(_xlfn.XLOOKUP(G63,INDIRECT(B63),INDIRECT(B63),"NO")="NO","",_xlfn.XLOOKUP($C63,LUT!$B$3:$B$200,LUT!$D$3:$D$200,"")&amp;""),""),"")</f>
        <v/>
      </c>
      <c r="B63" s="51"/>
      <c r="C63" s="53"/>
      <c r="D63" s="83"/>
      <c r="E63" s="83"/>
      <c r="F63" s="83"/>
      <c r="G63" s="52"/>
      <c r="H63" s="96"/>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10">
        <f t="shared" si="4"/>
        <v>0</v>
      </c>
      <c r="AL63" s="111">
        <f t="shared" si="5"/>
        <v>0</v>
      </c>
      <c r="AM63" s="47"/>
      <c r="AN63" s="21"/>
      <c r="AO63" s="49"/>
    </row>
    <row r="64" spans="1:41" ht="14.25" customHeight="1" x14ac:dyDescent="0.25">
      <c r="A64" s="50" t="str" cm="1">
        <f t="array" aca="1" ref="A64" ca="1">IFERROR(IF(#REF!&gt;0,IF(_xlfn.XLOOKUP(G64,INDIRECT(B64),INDIRECT(B64),"NO")="NO","",_xlfn.XLOOKUP($C64,LUT!$B$3:$B$200,LUT!$D$3:$D$200,"")&amp;""),""),"")</f>
        <v/>
      </c>
      <c r="B64" s="51"/>
      <c r="C64" s="53"/>
      <c r="D64" s="83"/>
      <c r="E64" s="83"/>
      <c r="F64" s="83"/>
      <c r="G64" s="52"/>
      <c r="H64" s="96"/>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10">
        <f t="shared" si="4"/>
        <v>0</v>
      </c>
      <c r="AL64" s="111">
        <f t="shared" si="5"/>
        <v>0</v>
      </c>
      <c r="AM64" s="47"/>
      <c r="AN64" s="21"/>
      <c r="AO64" s="49"/>
    </row>
    <row r="65" spans="1:42" x14ac:dyDescent="0.25">
      <c r="A65" s="50" t="str" cm="1">
        <f t="array" aca="1" ref="A65" ca="1">IFERROR(IF(#REF!&gt;0,IF(_xlfn.XLOOKUP(G65,INDIRECT(B65),INDIRECT(B65),"NO")="NO","",_xlfn.XLOOKUP($C65,LUT!$B$3:$B$200,LUT!$D$3:$D$200,"")&amp;""),""),"")</f>
        <v/>
      </c>
      <c r="B65" s="51"/>
      <c r="C65" s="53"/>
      <c r="D65" s="83"/>
      <c r="E65" s="83"/>
      <c r="F65" s="83"/>
      <c r="G65" s="52"/>
      <c r="H65" s="96"/>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10">
        <f t="shared" si="4"/>
        <v>0</v>
      </c>
      <c r="AL65" s="111">
        <f t="shared" si="5"/>
        <v>0</v>
      </c>
      <c r="AM65" s="47"/>
      <c r="AN65" s="21"/>
      <c r="AO65" s="49"/>
    </row>
    <row r="66" spans="1:42" x14ac:dyDescent="0.25">
      <c r="A66" s="50" t="str" cm="1">
        <f t="array" aca="1" ref="A66" ca="1">IFERROR(IF(#REF!&gt;0,IF(_xlfn.XLOOKUP(G66,INDIRECT(B66),INDIRECT(B66),"NO")="NO","",_xlfn.XLOOKUP($C66,LUT!$B$3:$B$200,LUT!$D$3:$D$200,"")&amp;""),""),"")</f>
        <v/>
      </c>
      <c r="B66" s="51"/>
      <c r="C66" s="53"/>
      <c r="D66" s="83"/>
      <c r="E66" s="83"/>
      <c r="F66" s="83"/>
      <c r="G66" s="52"/>
      <c r="H66" s="96"/>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10">
        <f t="shared" si="4"/>
        <v>0</v>
      </c>
      <c r="AL66" s="111">
        <f t="shared" si="5"/>
        <v>0</v>
      </c>
      <c r="AM66" s="47"/>
      <c r="AN66" s="21"/>
      <c r="AO66" s="49"/>
    </row>
    <row r="67" spans="1:42" x14ac:dyDescent="0.25">
      <c r="A67" s="54"/>
      <c r="B67" s="54"/>
      <c r="C67" s="54"/>
      <c r="D67" s="54"/>
      <c r="E67" s="54"/>
      <c r="F67" s="54"/>
      <c r="G67" s="54"/>
      <c r="H67" s="54"/>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3"/>
      <c r="AI67" s="113"/>
      <c r="AJ67" s="113"/>
      <c r="AK67" s="114"/>
      <c r="AL67" s="115"/>
      <c r="AM67" s="55"/>
      <c r="AN67" s="21"/>
      <c r="AO67" s="49"/>
    </row>
    <row r="68" spans="1:42" x14ac:dyDescent="0.25">
      <c r="A68" s="193" t="s">
        <v>30</v>
      </c>
      <c r="B68" s="194"/>
      <c r="C68" s="194"/>
      <c r="D68" s="194"/>
      <c r="E68" s="194"/>
      <c r="F68" s="195"/>
      <c r="G68" s="229" t="s">
        <v>31</v>
      </c>
      <c r="H68" s="56" t="s">
        <v>23</v>
      </c>
      <c r="I68" s="116" cm="1">
        <f t="array" aca="1" ref="I68" ca="1">SUMPRODUCT(SUBTOTAL(9,OFFSET(I$14,ROW(I$14:I$67)-ROW(I$14),)),--($H$14:$H$67=$H68))</f>
        <v>0</v>
      </c>
      <c r="J68" s="116" cm="1">
        <f t="array" aca="1" ref="J68" ca="1">SUMPRODUCT(SUBTOTAL(9,OFFSET(J$14,ROW(J$14:J$67)-ROW(J$14),)),--($H$14:$H$67=$H68))</f>
        <v>0</v>
      </c>
      <c r="K68" s="116" cm="1">
        <f t="array" aca="1" ref="K68" ca="1">SUMPRODUCT(SUBTOTAL(9,OFFSET(K$14,ROW(K$14:K$67)-ROW(K$14),)),--($H$14:$H$67=$H68))</f>
        <v>0</v>
      </c>
      <c r="L68" s="116" cm="1">
        <f t="array" aca="1" ref="L68" ca="1">SUMPRODUCT(SUBTOTAL(9,OFFSET(L$14,ROW(L$14:L$67)-ROW(L$14),)),--($H$14:$H$67=$H68))</f>
        <v>0</v>
      </c>
      <c r="M68" s="116" cm="1">
        <f t="array" aca="1" ref="M68" ca="1">SUMPRODUCT(SUBTOTAL(9,OFFSET(M$14,ROW(M$14:M$67)-ROW(M$14),)),--($H$14:$H$67=$H68))</f>
        <v>0</v>
      </c>
      <c r="N68" s="116" cm="1">
        <f t="array" aca="1" ref="N68" ca="1">SUMPRODUCT(SUBTOTAL(9,OFFSET(N$14,ROW(N$14:N$67)-ROW(N$14),)),--($H$14:$H$67=$H68))</f>
        <v>0</v>
      </c>
      <c r="O68" s="116" cm="1">
        <f t="array" aca="1" ref="O68" ca="1">SUMPRODUCT(SUBTOTAL(9,OFFSET(O$14,ROW(O$14:O$67)-ROW(O$14),)),--($H$14:$H$67=$H68))</f>
        <v>0</v>
      </c>
      <c r="P68" s="116" cm="1">
        <f t="array" aca="1" ref="P68" ca="1">SUMPRODUCT(SUBTOTAL(9,OFFSET(P$14,ROW(P$14:P$67)-ROW(P$14),)),--($H$14:$H$67=$H68))</f>
        <v>0</v>
      </c>
      <c r="Q68" s="116" cm="1">
        <f t="array" aca="1" ref="Q68" ca="1">SUMPRODUCT(SUBTOTAL(9,OFFSET(Q$14,ROW(Q$14:Q$67)-ROW(Q$14),)),--($H$14:$H$67=$H68))</f>
        <v>0</v>
      </c>
      <c r="R68" s="116" cm="1">
        <f t="array" aca="1" ref="R68" ca="1">SUMPRODUCT(SUBTOTAL(9,OFFSET(R$14,ROW(R$14:R$67)-ROW(R$14),)),--($H$14:$H$67=$H68))</f>
        <v>0</v>
      </c>
      <c r="S68" s="116" cm="1">
        <f t="array" aca="1" ref="S68" ca="1">SUMPRODUCT(SUBTOTAL(9,OFFSET(S$14,ROW(S$14:S$67)-ROW(S$14),)),--($H$14:$H$67=$H68))</f>
        <v>0</v>
      </c>
      <c r="T68" s="116" cm="1">
        <f t="array" aca="1" ref="T68" ca="1">SUMPRODUCT(SUBTOTAL(9,OFFSET(T$14,ROW(T$14:T$67)-ROW(T$14),)),--($H$14:$H$67=$H68))</f>
        <v>0</v>
      </c>
      <c r="U68" s="116" cm="1">
        <f t="array" aca="1" ref="U68" ca="1">SUMPRODUCT(SUBTOTAL(9,OFFSET(U$14,ROW(U$14:U$67)-ROW(U$14),)),--($H$14:$H$67=$H68))</f>
        <v>0</v>
      </c>
      <c r="V68" s="116" cm="1">
        <f t="array" aca="1" ref="V68" ca="1">SUMPRODUCT(SUBTOTAL(9,OFFSET(V$14,ROW(V$14:V$67)-ROW(V$14),)),--($H$14:$H$67=$H68))</f>
        <v>0</v>
      </c>
      <c r="W68" s="116" cm="1">
        <f t="array" aca="1" ref="W68" ca="1">SUMPRODUCT(SUBTOTAL(9,OFFSET(W$14,ROW(W$14:W$67)-ROW(W$14),)),--($H$14:$H$67=$H68))</f>
        <v>0</v>
      </c>
      <c r="X68" s="116" cm="1">
        <f t="array" aca="1" ref="X68" ca="1">SUMPRODUCT(SUBTOTAL(9,OFFSET(X$14,ROW(X$14:X$67)-ROW(X$14),)),--($H$14:$H$67=$H68))</f>
        <v>0</v>
      </c>
      <c r="Y68" s="116" cm="1">
        <f t="array" aca="1" ref="Y68" ca="1">SUMPRODUCT(SUBTOTAL(9,OFFSET(Y$14,ROW(Y$14:Y$67)-ROW(Y$14),)),--($H$14:$H$67=$H68))</f>
        <v>0</v>
      </c>
      <c r="Z68" s="116" cm="1">
        <f t="array" aca="1" ref="Z68" ca="1">SUMPRODUCT(SUBTOTAL(9,OFFSET(Z$14,ROW(Z$14:Z$67)-ROW(Z$14),)),--($H$14:$H$67=$H68))</f>
        <v>0</v>
      </c>
      <c r="AA68" s="116" cm="1">
        <f t="array" aca="1" ref="AA68" ca="1">SUMPRODUCT(SUBTOTAL(9,OFFSET(AA$14,ROW(AA$14:AA$67)-ROW(AA$14),)),--($H$14:$H$67=$H68))</f>
        <v>0</v>
      </c>
      <c r="AB68" s="116" cm="1">
        <f t="array" aca="1" ref="AB68" ca="1">SUMPRODUCT(SUBTOTAL(9,OFFSET(AB$14,ROW(AB$14:AB$67)-ROW(AB$14),)),--($H$14:$H$67=$H68))</f>
        <v>0</v>
      </c>
      <c r="AC68" s="116" cm="1">
        <f t="array" aca="1" ref="AC68" ca="1">SUMPRODUCT(SUBTOTAL(9,OFFSET(AC$14,ROW(AC$14:AC$67)-ROW(AC$14),)),--($H$14:$H$67=$H68))</f>
        <v>0</v>
      </c>
      <c r="AD68" s="116" cm="1">
        <f t="array" aca="1" ref="AD68" ca="1">SUMPRODUCT(SUBTOTAL(9,OFFSET(AD$14,ROW(AD$14:AD$67)-ROW(AD$14),)),--($H$14:$H$67=$H68))</f>
        <v>0</v>
      </c>
      <c r="AE68" s="116" cm="1">
        <f t="array" aca="1" ref="AE68" ca="1">SUMPRODUCT(SUBTOTAL(9,OFFSET(AE$14,ROW(AE$14:AE$67)-ROW(AE$14),)),--($H$14:$H$67=$H68))</f>
        <v>0</v>
      </c>
      <c r="AF68" s="116" cm="1">
        <f t="array" aca="1" ref="AF68" ca="1">SUMPRODUCT(SUBTOTAL(9,OFFSET(AF$14,ROW(AF$14:AF$67)-ROW(AF$14),)),--($H$14:$H$67=$H68))</f>
        <v>0</v>
      </c>
      <c r="AG68" s="116" cm="1">
        <f t="array" aca="1" ref="AG68" ca="1">SUMPRODUCT(SUBTOTAL(9,OFFSET(AG$14,ROW(AG$14:AG$67)-ROW(AG$14),)),--($H$14:$H$67=$H68))</f>
        <v>0</v>
      </c>
      <c r="AH68" s="116" cm="1">
        <f t="array" aca="1" ref="AH68" ca="1">SUMPRODUCT(SUBTOTAL(9,OFFSET(AH$14,ROW(AH$14:AH$67)-ROW(AH$14),)),--($H$14:$H$67=$H68))</f>
        <v>0</v>
      </c>
      <c r="AI68" s="116" cm="1">
        <f t="array" aca="1" ref="AI68" ca="1">SUMPRODUCT(SUBTOTAL(9,OFFSET(AI$14,ROW(AI$14:AI$67)-ROW(AI$14),)),--($H$14:$H$67=$H68))</f>
        <v>0</v>
      </c>
      <c r="AJ68" s="116" cm="1">
        <f t="array" aca="1" ref="AJ68" ca="1">SUMPRODUCT(SUBTOTAL(9,OFFSET(AJ$14,ROW(AJ$14:AJ$67)-ROW(AJ$14),)),--($H$14:$H$67=$H68))</f>
        <v>0</v>
      </c>
      <c r="AK68" s="117" cm="1">
        <f t="array" aca="1" ref="AK68" ca="1">SUMPRODUCT(SUBTOTAL(9,OFFSET(AK$14,ROW(AK$14:AK$67)-ROW(AK$14),)),--($H$14:$H$67=$H68))</f>
        <v>0</v>
      </c>
      <c r="AL68" s="117">
        <f t="shared" ref="AL68:AL70" ca="1" si="6">MAX(I68:AJ68)</f>
        <v>0</v>
      </c>
      <c r="AM68" s="104"/>
      <c r="AN68" s="57"/>
      <c r="AO68" s="57"/>
      <c r="AP68" s="58"/>
    </row>
    <row r="69" spans="1:42" ht="15" customHeight="1" x14ac:dyDescent="0.25">
      <c r="A69" s="196" t="s">
        <v>23</v>
      </c>
      <c r="B69" s="197"/>
      <c r="C69" s="200" t="s">
        <v>32</v>
      </c>
      <c r="D69" s="200"/>
      <c r="E69" s="200"/>
      <c r="F69" s="201"/>
      <c r="G69" s="230"/>
      <c r="H69" s="56" t="s">
        <v>18</v>
      </c>
      <c r="I69" s="116" cm="1">
        <f t="array" aca="1" ref="I69" ca="1">SUMPRODUCT(SUBTOTAL(9,OFFSET(I$14,ROW(I$14:I$67)-ROW(I$14),)),--($H$14:$H$67=$H69))</f>
        <v>0</v>
      </c>
      <c r="J69" s="116" cm="1">
        <f t="array" aca="1" ref="J69" ca="1">SUMPRODUCT(SUBTOTAL(9,OFFSET(J$14,ROW(J$14:J$67)-ROW(J$14),)),--($H$14:$H$67=$H69))</f>
        <v>0</v>
      </c>
      <c r="K69" s="116" cm="1">
        <f t="array" aca="1" ref="K69" ca="1">SUMPRODUCT(SUBTOTAL(9,OFFSET(K$14,ROW(K$14:K$67)-ROW(K$14),)),--($H$14:$H$67=$H69))</f>
        <v>0</v>
      </c>
      <c r="L69" s="116" cm="1">
        <f t="array" aca="1" ref="L69" ca="1">SUMPRODUCT(SUBTOTAL(9,OFFSET(L$14,ROW(L$14:L$67)-ROW(L$14),)),--($H$14:$H$67=$H69))</f>
        <v>0.5</v>
      </c>
      <c r="M69" s="116" cm="1">
        <f t="array" aca="1" ref="M69" ca="1">SUMPRODUCT(SUBTOTAL(9,OFFSET(M$14,ROW(M$14:M$67)-ROW(M$14),)),--($H$14:$H$67=$H69))</f>
        <v>0.7</v>
      </c>
      <c r="N69" s="116" cm="1">
        <f t="array" aca="1" ref="N69" ca="1">SUMPRODUCT(SUBTOTAL(9,OFFSET(N$14,ROW(N$14:N$67)-ROW(N$14),)),--($H$14:$H$67=$H69))</f>
        <v>1</v>
      </c>
      <c r="O69" s="116" cm="1">
        <f t="array" aca="1" ref="O69" ca="1">SUMPRODUCT(SUBTOTAL(9,OFFSET(O$14,ROW(O$14:O$67)-ROW(O$14),)),--($H$14:$H$67=$H69))</f>
        <v>1</v>
      </c>
      <c r="P69" s="116" cm="1">
        <f t="array" aca="1" ref="P69" ca="1">SUMPRODUCT(SUBTOTAL(9,OFFSET(P$14,ROW(P$14:P$67)-ROW(P$14),)),--($H$14:$H$67=$H69))</f>
        <v>1.5</v>
      </c>
      <c r="Q69" s="116" cm="1">
        <f t="array" aca="1" ref="Q69" ca="1">SUMPRODUCT(SUBTOTAL(9,OFFSET(Q$14,ROW(Q$14:Q$67)-ROW(Q$14),)),--($H$14:$H$67=$H69))</f>
        <v>5</v>
      </c>
      <c r="R69" s="116" cm="1">
        <f t="array" aca="1" ref="R69" ca="1">SUMPRODUCT(SUBTOTAL(9,OFFSET(R$14,ROW(R$14:R$67)-ROW(R$14),)),--($H$14:$H$67=$H69))</f>
        <v>15.6</v>
      </c>
      <c r="S69" s="116" cm="1">
        <f t="array" aca="1" ref="S69" ca="1">SUMPRODUCT(SUBTOTAL(9,OFFSET(S$14,ROW(S$14:S$67)-ROW(S$14),)),--($H$14:$H$67=$H69))</f>
        <v>22.7</v>
      </c>
      <c r="T69" s="116" cm="1">
        <f t="array" aca="1" ref="T69" ca="1">SUMPRODUCT(SUBTOTAL(9,OFFSET(T$14,ROW(T$14:T$67)-ROW(T$14),)),--($H$14:$H$67=$H69))</f>
        <v>29.2</v>
      </c>
      <c r="U69" s="116" cm="1">
        <f t="array" aca="1" ref="U69" ca="1">SUMPRODUCT(SUBTOTAL(9,OFFSET(U$14,ROW(U$14:U$67)-ROW(U$14),)),--($H$14:$H$67=$H69))</f>
        <v>30.1</v>
      </c>
      <c r="V69" s="116" cm="1">
        <f t="array" aca="1" ref="V69" ca="1">SUMPRODUCT(SUBTOTAL(9,OFFSET(V$14,ROW(V$14:V$67)-ROW(V$14),)),--($H$14:$H$67=$H69))</f>
        <v>28.6</v>
      </c>
      <c r="W69" s="116" cm="1">
        <f t="array" aca="1" ref="W69" ca="1">SUMPRODUCT(SUBTOTAL(9,OFFSET(W$14,ROW(W$14:W$67)-ROW(W$14),)),--($H$14:$H$67=$H69))</f>
        <v>21.1</v>
      </c>
      <c r="X69" s="116" cm="1">
        <f t="array" aca="1" ref="X69" ca="1">SUMPRODUCT(SUBTOTAL(9,OFFSET(X$14,ROW(X$14:X$67)-ROW(X$14),)),--($H$14:$H$67=$H69))</f>
        <v>15</v>
      </c>
      <c r="Y69" s="116" cm="1">
        <f t="array" aca="1" ref="Y69" ca="1">SUMPRODUCT(SUBTOTAL(9,OFFSET(Y$14,ROW(Y$14:Y$67)-ROW(Y$14),)),--($H$14:$H$67=$H69))</f>
        <v>13.299999999999999</v>
      </c>
      <c r="Z69" s="116" cm="1">
        <f t="array" aca="1" ref="Z69" ca="1">SUMPRODUCT(SUBTOTAL(9,OFFSET(Z$14,ROW(Z$14:Z$67)-ROW(Z$14),)),--($H$14:$H$67=$H69))</f>
        <v>0</v>
      </c>
      <c r="AA69" s="116" cm="1">
        <f t="array" aca="1" ref="AA69" ca="1">SUMPRODUCT(SUBTOTAL(9,OFFSET(AA$14,ROW(AA$14:AA$67)-ROW(AA$14),)),--($H$14:$H$67=$H69))</f>
        <v>0</v>
      </c>
      <c r="AB69" s="116" cm="1">
        <f t="array" aca="1" ref="AB69" ca="1">SUMPRODUCT(SUBTOTAL(9,OFFSET(AB$14,ROW(AB$14:AB$67)-ROW(AB$14),)),--($H$14:$H$67=$H69))</f>
        <v>0</v>
      </c>
      <c r="AC69" s="116" cm="1">
        <f t="array" aca="1" ref="AC69" ca="1">SUMPRODUCT(SUBTOTAL(9,OFFSET(AC$14,ROW(AC$14:AC$67)-ROW(AC$14),)),--($H$14:$H$67=$H69))</f>
        <v>0</v>
      </c>
      <c r="AD69" s="116" cm="1">
        <f t="array" aca="1" ref="AD69" ca="1">SUMPRODUCT(SUBTOTAL(9,OFFSET(AD$14,ROW(AD$14:AD$67)-ROW(AD$14),)),--($H$14:$H$67=$H69))</f>
        <v>0</v>
      </c>
      <c r="AE69" s="116" cm="1">
        <f t="array" aca="1" ref="AE69" ca="1">SUMPRODUCT(SUBTOTAL(9,OFFSET(AE$14,ROW(AE$14:AE$67)-ROW(AE$14),)),--($H$14:$H$67=$H69))</f>
        <v>0</v>
      </c>
      <c r="AF69" s="116" cm="1">
        <f t="array" aca="1" ref="AF69" ca="1">SUMPRODUCT(SUBTOTAL(9,OFFSET(AF$14,ROW(AF$14:AF$67)-ROW(AF$14),)),--($H$14:$H$67=$H69))</f>
        <v>0</v>
      </c>
      <c r="AG69" s="116" cm="1">
        <f t="array" aca="1" ref="AG69" ca="1">SUMPRODUCT(SUBTOTAL(9,OFFSET(AG$14,ROW(AG$14:AG$67)-ROW(AG$14),)),--($H$14:$H$67=$H69))</f>
        <v>0</v>
      </c>
      <c r="AH69" s="116" cm="1">
        <f t="array" aca="1" ref="AH69" ca="1">SUMPRODUCT(SUBTOTAL(9,OFFSET(AH$14,ROW(AH$14:AH$67)-ROW(AH$14),)),--($H$14:$H$67=$H69))</f>
        <v>0</v>
      </c>
      <c r="AI69" s="116" cm="1">
        <f t="array" aca="1" ref="AI69" ca="1">SUMPRODUCT(SUBTOTAL(9,OFFSET(AI$14,ROW(AI$14:AI$67)-ROW(AI$14),)),--($H$14:$H$67=$H69))</f>
        <v>0</v>
      </c>
      <c r="AJ69" s="116" cm="1">
        <f t="array" aca="1" ref="AJ69" ca="1">SUMPRODUCT(SUBTOTAL(9,OFFSET(AJ$14,ROW(AJ$14:AJ$67)-ROW(AJ$14),)),--($H$14:$H$67=$H69))</f>
        <v>0</v>
      </c>
      <c r="AK69" s="117" cm="1">
        <f t="array" aca="1" ref="AK69" ca="1">SUMPRODUCT(SUBTOTAL(9,OFFSET(AK$14,ROW(AK$14:AK$67)-ROW(AK$14),)),--($H$14:$H$67=$H69))</f>
        <v>185.3</v>
      </c>
      <c r="AL69" s="117">
        <f t="shared" ca="1" si="6"/>
        <v>30.1</v>
      </c>
      <c r="AM69" s="105"/>
      <c r="AN69" s="57"/>
      <c r="AO69" s="57"/>
      <c r="AP69" s="58"/>
    </row>
    <row r="70" spans="1:42" ht="15" customHeight="1" x14ac:dyDescent="0.25">
      <c r="A70" s="196"/>
      <c r="B70" s="197"/>
      <c r="C70" s="198" t="s">
        <v>33</v>
      </c>
      <c r="D70" s="198"/>
      <c r="E70" s="198"/>
      <c r="F70" s="199"/>
      <c r="G70" s="231"/>
      <c r="H70" s="56" t="s">
        <v>34</v>
      </c>
      <c r="I70" s="117">
        <f t="shared" ref="I70:AK70" ca="1" si="7">SUM(I68:I69)</f>
        <v>0</v>
      </c>
      <c r="J70" s="117">
        <f t="shared" ca="1" si="7"/>
        <v>0</v>
      </c>
      <c r="K70" s="117">
        <f t="shared" ca="1" si="7"/>
        <v>0</v>
      </c>
      <c r="L70" s="117">
        <f t="shared" ca="1" si="7"/>
        <v>0.5</v>
      </c>
      <c r="M70" s="117">
        <f t="shared" ca="1" si="7"/>
        <v>0.7</v>
      </c>
      <c r="N70" s="117">
        <f t="shared" ca="1" si="7"/>
        <v>1</v>
      </c>
      <c r="O70" s="117">
        <f t="shared" ca="1" si="7"/>
        <v>1</v>
      </c>
      <c r="P70" s="117">
        <f t="shared" ca="1" si="7"/>
        <v>1.5</v>
      </c>
      <c r="Q70" s="117">
        <f t="shared" ca="1" si="7"/>
        <v>5</v>
      </c>
      <c r="R70" s="117">
        <f t="shared" ca="1" si="7"/>
        <v>15.6</v>
      </c>
      <c r="S70" s="117">
        <f t="shared" ca="1" si="7"/>
        <v>22.7</v>
      </c>
      <c r="T70" s="117">
        <f t="shared" ca="1" si="7"/>
        <v>29.2</v>
      </c>
      <c r="U70" s="117">
        <f t="shared" ca="1" si="7"/>
        <v>30.1</v>
      </c>
      <c r="V70" s="117">
        <f t="shared" ca="1" si="7"/>
        <v>28.6</v>
      </c>
      <c r="W70" s="117">
        <f t="shared" ca="1" si="7"/>
        <v>21.1</v>
      </c>
      <c r="X70" s="117">
        <f t="shared" ca="1" si="7"/>
        <v>15</v>
      </c>
      <c r="Y70" s="117">
        <f t="shared" ca="1" si="7"/>
        <v>13.299999999999999</v>
      </c>
      <c r="Z70" s="117">
        <f t="shared" ca="1" si="7"/>
        <v>0</v>
      </c>
      <c r="AA70" s="117">
        <f t="shared" ca="1" si="7"/>
        <v>0</v>
      </c>
      <c r="AB70" s="117">
        <f t="shared" ca="1" si="7"/>
        <v>0</v>
      </c>
      <c r="AC70" s="117">
        <f t="shared" ca="1" si="7"/>
        <v>0</v>
      </c>
      <c r="AD70" s="117">
        <f t="shared" ca="1" si="7"/>
        <v>0</v>
      </c>
      <c r="AE70" s="117">
        <f t="shared" ca="1" si="7"/>
        <v>0</v>
      </c>
      <c r="AF70" s="117">
        <f t="shared" ca="1" si="7"/>
        <v>0</v>
      </c>
      <c r="AG70" s="117">
        <f t="shared" ca="1" si="7"/>
        <v>0</v>
      </c>
      <c r="AH70" s="117">
        <f t="shared" ca="1" si="7"/>
        <v>0</v>
      </c>
      <c r="AI70" s="117">
        <f t="shared" ca="1" si="7"/>
        <v>0</v>
      </c>
      <c r="AJ70" s="117">
        <f t="shared" ca="1" si="7"/>
        <v>0</v>
      </c>
      <c r="AK70" s="117">
        <f t="shared" ca="1" si="7"/>
        <v>185.3</v>
      </c>
      <c r="AL70" s="117">
        <f t="shared" ca="1" si="6"/>
        <v>30.1</v>
      </c>
      <c r="AM70" s="105"/>
      <c r="AN70" s="57"/>
      <c r="AO70" s="57"/>
      <c r="AP70" s="58"/>
    </row>
    <row r="71" spans="1:42" x14ac:dyDescent="0.25">
      <c r="A71" s="137"/>
      <c r="B71" s="138"/>
      <c r="C71" s="198"/>
      <c r="D71" s="198"/>
      <c r="E71" s="198"/>
      <c r="F71" s="199"/>
      <c r="G71" s="224"/>
      <c r="H71" s="59"/>
      <c r="I71" s="118"/>
      <c r="J71" s="118"/>
      <c r="K71" s="118"/>
      <c r="L71" s="118"/>
      <c r="M71" s="118"/>
      <c r="N71" s="118"/>
      <c r="O71" s="118"/>
      <c r="P71" s="118"/>
      <c r="Q71" s="118"/>
      <c r="R71" s="118"/>
      <c r="S71" s="118"/>
      <c r="T71" s="118"/>
      <c r="U71" s="118"/>
      <c r="V71" s="118"/>
      <c r="W71" s="118"/>
      <c r="X71" s="118"/>
      <c r="Y71" s="118"/>
      <c r="Z71" s="118"/>
      <c r="AA71" s="118"/>
      <c r="AB71" s="118"/>
      <c r="AC71" s="118" t="e" cm="1">
        <f t="array" aca="1" ref="AC71" ca="1">SUMPRODUCT(SUBTOTAL(9,OFFSET(AC$14,ROW(AC$14:AC$67)-ROW(AC$14),)),--($H$14:$H$67=$H68),#REF!)</f>
        <v>#REF!</v>
      </c>
      <c r="AD71" s="118" t="e" cm="1">
        <f t="array" aca="1" ref="AD71" ca="1">SUMPRODUCT(SUBTOTAL(9,OFFSET(AD$14,ROW(AD$14:AD$67)-ROW(AD$14),)),--($H$14:$H$67=$H68),#REF!)</f>
        <v>#REF!</v>
      </c>
      <c r="AE71" s="118" t="e" cm="1">
        <f t="array" aca="1" ref="AE71" ca="1">SUMPRODUCT(SUBTOTAL(9,OFFSET(AE$14,ROW(AE$14:AE$67)-ROW(AE$14),)),--($H$14:$H$67=$H68),#REF!)</f>
        <v>#REF!</v>
      </c>
      <c r="AF71" s="118" t="e" cm="1">
        <f t="array" aca="1" ref="AF71" ca="1">SUMPRODUCT(SUBTOTAL(9,OFFSET(AF$14,ROW(AF$14:AF$67)-ROW(AF$14),)),--($H$14:$H$67=$H68),#REF!)</f>
        <v>#REF!</v>
      </c>
      <c r="AG71" s="118" t="e" cm="1">
        <f t="array" aca="1" ref="AG71" ca="1">SUMPRODUCT(SUBTOTAL(9,OFFSET(AG$14,ROW(AG$14:AG$67)-ROW(AG$14),)),--($H$14:$H$67=$H68),#REF!)</f>
        <v>#REF!</v>
      </c>
      <c r="AH71" s="118" t="e" cm="1">
        <f t="array" aca="1" ref="AH71" ca="1">SUMPRODUCT(SUBTOTAL(9,OFFSET(AH$14,ROW(AH$14:AH$67)-ROW(AH$14),)),--($H$14:$H$67=$H68),#REF!)</f>
        <v>#REF!</v>
      </c>
      <c r="AI71" s="118" t="e" cm="1">
        <f t="array" aca="1" ref="AI71" ca="1">SUMPRODUCT(SUBTOTAL(9,OFFSET(AI$14,ROW(AI$14:AI$67)-ROW(AI$14),)),--($H$14:$H$67=$H68),#REF!)</f>
        <v>#REF!</v>
      </c>
      <c r="AJ71" s="118" t="e" cm="1">
        <f t="array" aca="1" ref="AJ71" ca="1">SUMPRODUCT(SUBTOTAL(9,OFFSET(AJ$14,ROW(AJ$14:AJ$67)-ROW(AJ$14),)),--($H$14:$H$67=$H68),#REF!)</f>
        <v>#REF!</v>
      </c>
      <c r="AK71" s="125"/>
      <c r="AL71" s="125"/>
      <c r="AM71" s="105"/>
    </row>
    <row r="72" spans="1:42" x14ac:dyDescent="0.25">
      <c r="A72" s="196" t="s">
        <v>18</v>
      </c>
      <c r="B72" s="197"/>
      <c r="C72" s="200" t="s">
        <v>35</v>
      </c>
      <c r="D72" s="200"/>
      <c r="E72" s="200"/>
      <c r="F72" s="201"/>
      <c r="G72" s="225"/>
      <c r="H72" s="59"/>
      <c r="I72" s="118"/>
      <c r="J72" s="118"/>
      <c r="K72" s="118"/>
      <c r="L72" s="118"/>
      <c r="M72" s="118"/>
      <c r="N72" s="118"/>
      <c r="O72" s="118"/>
      <c r="P72" s="118"/>
      <c r="Q72" s="118"/>
      <c r="R72" s="118"/>
      <c r="S72" s="118"/>
      <c r="T72" s="118"/>
      <c r="U72" s="118"/>
      <c r="V72" s="118"/>
      <c r="W72" s="118"/>
      <c r="X72" s="118"/>
      <c r="Y72" s="118"/>
      <c r="Z72" s="118"/>
      <c r="AA72" s="118"/>
      <c r="AB72" s="118"/>
      <c r="AC72" s="118" t="e" cm="1">
        <f t="array" aca="1" ref="AC72" ca="1">SUMPRODUCT(SUBTOTAL(9,OFFSET(AC$14,ROW(AC$14:AC$67)-ROW(AC$14),)),--($H$14:$H$67=$H69),#REF!)</f>
        <v>#REF!</v>
      </c>
      <c r="AD72" s="118" t="e" cm="1">
        <f t="array" aca="1" ref="AD72" ca="1">SUMPRODUCT(SUBTOTAL(9,OFFSET(AD$14,ROW(AD$14:AD$67)-ROW(AD$14),)),--($H$14:$H$67=$H69),#REF!)</f>
        <v>#REF!</v>
      </c>
      <c r="AE72" s="118" t="e" cm="1">
        <f t="array" aca="1" ref="AE72" ca="1">SUMPRODUCT(SUBTOTAL(9,OFFSET(AE$14,ROW(AE$14:AE$67)-ROW(AE$14),)),--($H$14:$H$67=$H69),#REF!)</f>
        <v>#REF!</v>
      </c>
      <c r="AF72" s="118" t="e" cm="1">
        <f t="array" aca="1" ref="AF72" ca="1">SUMPRODUCT(SUBTOTAL(9,OFFSET(AF$14,ROW(AF$14:AF$67)-ROW(AF$14),)),--($H$14:$H$67=$H69),#REF!)</f>
        <v>#REF!</v>
      </c>
      <c r="AG72" s="118" t="e" cm="1">
        <f t="array" aca="1" ref="AG72" ca="1">SUMPRODUCT(SUBTOTAL(9,OFFSET(AG$14,ROW(AG$14:AG$67)-ROW(AG$14),)),--($H$14:$H$67=$H69),#REF!)</f>
        <v>#REF!</v>
      </c>
      <c r="AH72" s="118" t="e" cm="1">
        <f t="array" aca="1" ref="AH72" ca="1">SUMPRODUCT(SUBTOTAL(9,OFFSET(AH$14,ROW(AH$14:AH$67)-ROW(AH$14),)),--($H$14:$H$67=$H69),#REF!)</f>
        <v>#REF!</v>
      </c>
      <c r="AI72" s="118" t="e" cm="1">
        <f t="array" aca="1" ref="AI72" ca="1">SUMPRODUCT(SUBTOTAL(9,OFFSET(AI$14,ROW(AI$14:AI$67)-ROW(AI$14),)),--($H$14:$H$67=$H69),#REF!)</f>
        <v>#REF!</v>
      </c>
      <c r="AJ72" s="118" t="e" cm="1">
        <f t="array" aca="1" ref="AJ72" ca="1">SUMPRODUCT(SUBTOTAL(9,OFFSET(AJ$14,ROW(AJ$14:AJ$67)-ROW(AJ$14),)),--($H$14:$H$67=$H69),#REF!)</f>
        <v>#REF!</v>
      </c>
      <c r="AK72" s="125"/>
      <c r="AL72" s="125"/>
      <c r="AM72" s="105"/>
    </row>
    <row r="73" spans="1:42" x14ac:dyDescent="0.25">
      <c r="A73" s="136"/>
      <c r="B73" s="135"/>
      <c r="C73" s="198" t="s">
        <v>36</v>
      </c>
      <c r="D73" s="198"/>
      <c r="E73" s="198"/>
      <c r="F73" s="199"/>
      <c r="G73" s="226"/>
      <c r="H73" s="59"/>
      <c r="I73" s="118"/>
      <c r="J73" s="118"/>
      <c r="K73" s="118"/>
      <c r="L73" s="118"/>
      <c r="M73" s="118"/>
      <c r="N73" s="118"/>
      <c r="O73" s="118"/>
      <c r="P73" s="118"/>
      <c r="Q73" s="118"/>
      <c r="R73" s="118"/>
      <c r="S73" s="118"/>
      <c r="T73" s="118"/>
      <c r="U73" s="118"/>
      <c r="V73" s="118"/>
      <c r="W73" s="118"/>
      <c r="X73" s="118"/>
      <c r="Y73" s="118"/>
      <c r="Z73" s="118"/>
      <c r="AA73" s="118"/>
      <c r="AB73" s="118"/>
      <c r="AC73" s="118" t="e">
        <f t="shared" ref="AC73:AJ73" ca="1" si="8">SUM(AC71:AC72)</f>
        <v>#REF!</v>
      </c>
      <c r="AD73" s="118" t="e">
        <f t="shared" ca="1" si="8"/>
        <v>#REF!</v>
      </c>
      <c r="AE73" s="118" t="e">
        <f t="shared" ca="1" si="8"/>
        <v>#REF!</v>
      </c>
      <c r="AF73" s="118" t="e">
        <f t="shared" ca="1" si="8"/>
        <v>#REF!</v>
      </c>
      <c r="AG73" s="118" t="e">
        <f t="shared" ca="1" si="8"/>
        <v>#REF!</v>
      </c>
      <c r="AH73" s="118" t="e">
        <f t="shared" ca="1" si="8"/>
        <v>#REF!</v>
      </c>
      <c r="AI73" s="118" t="e">
        <f t="shared" ca="1" si="8"/>
        <v>#REF!</v>
      </c>
      <c r="AJ73" s="118" t="e">
        <f t="shared" ca="1" si="8"/>
        <v>#REF!</v>
      </c>
      <c r="AK73" s="125"/>
      <c r="AL73" s="125"/>
      <c r="AM73" s="105"/>
    </row>
    <row r="74" spans="1:42" ht="15" hidden="1" customHeight="1" outlineLevel="1" x14ac:dyDescent="0.25">
      <c r="A74" s="105"/>
      <c r="B74" s="107"/>
      <c r="C74" s="107"/>
      <c r="D74" s="107"/>
      <c r="E74" s="107"/>
      <c r="F74" s="106"/>
      <c r="G74" s="227"/>
      <c r="H74" s="81"/>
      <c r="I74" s="122"/>
      <c r="J74" s="122"/>
      <c r="K74" s="122"/>
      <c r="L74" s="122"/>
      <c r="M74" s="122"/>
      <c r="N74" s="122"/>
      <c r="O74" s="122"/>
      <c r="P74" s="122"/>
      <c r="Q74" s="122"/>
      <c r="R74" s="122"/>
      <c r="S74" s="122"/>
      <c r="T74" s="122"/>
      <c r="U74" s="122"/>
      <c r="V74" s="122"/>
      <c r="W74" s="122"/>
      <c r="X74" s="122"/>
      <c r="Y74" s="122"/>
      <c r="Z74" s="122"/>
      <c r="AA74" s="122"/>
      <c r="AB74" s="122"/>
      <c r="AC74" s="122">
        <f t="shared" ref="AC74:AJ74" ca="1" si="9">AC69-AB69</f>
        <v>0</v>
      </c>
      <c r="AD74" s="122">
        <f t="shared" ca="1" si="9"/>
        <v>0</v>
      </c>
      <c r="AE74" s="122">
        <f t="shared" ca="1" si="9"/>
        <v>0</v>
      </c>
      <c r="AF74" s="122">
        <f t="shared" ca="1" si="9"/>
        <v>0</v>
      </c>
      <c r="AG74" s="122">
        <f t="shared" ca="1" si="9"/>
        <v>0</v>
      </c>
      <c r="AH74" s="122">
        <f t="shared" ca="1" si="9"/>
        <v>0</v>
      </c>
      <c r="AI74" s="122">
        <f t="shared" ca="1" si="9"/>
        <v>0</v>
      </c>
      <c r="AJ74" s="122">
        <f t="shared" ca="1" si="9"/>
        <v>0</v>
      </c>
      <c r="AK74" s="126"/>
      <c r="AL74" s="126"/>
      <c r="AM74" s="105"/>
    </row>
    <row r="75" spans="1:42" ht="15" hidden="1" customHeight="1" outlineLevel="1" collapsed="1" x14ac:dyDescent="0.25">
      <c r="A75" s="105"/>
      <c r="B75" s="107"/>
      <c r="C75" s="107"/>
      <c r="D75" s="107"/>
      <c r="E75" s="107"/>
      <c r="F75" s="106"/>
      <c r="G75" s="228"/>
      <c r="H75" s="81"/>
      <c r="I75" s="123"/>
      <c r="J75" s="123"/>
      <c r="K75" s="123"/>
      <c r="L75" s="123"/>
      <c r="M75" s="123"/>
      <c r="N75" s="123"/>
      <c r="O75" s="123"/>
      <c r="P75" s="123"/>
      <c r="Q75" s="123"/>
      <c r="R75" s="123"/>
      <c r="S75" s="123"/>
      <c r="T75" s="123"/>
      <c r="U75" s="123"/>
      <c r="V75" s="123"/>
      <c r="W75" s="123"/>
      <c r="X75" s="123"/>
      <c r="Y75" s="123"/>
      <c r="Z75" s="123"/>
      <c r="AA75" s="123"/>
      <c r="AB75" s="123"/>
      <c r="AC75" s="123" t="s">
        <v>38</v>
      </c>
      <c r="AD75" s="123" t="s">
        <v>38</v>
      </c>
      <c r="AE75" s="123" t="s">
        <v>38</v>
      </c>
      <c r="AF75" s="123" t="s">
        <v>38</v>
      </c>
      <c r="AG75" s="123" t="s">
        <v>38</v>
      </c>
      <c r="AH75" s="123" t="s">
        <v>38</v>
      </c>
      <c r="AI75" s="123" t="s">
        <v>38</v>
      </c>
      <c r="AJ75" s="123" t="s">
        <v>38</v>
      </c>
      <c r="AK75" s="126"/>
      <c r="AL75" s="126"/>
      <c r="AM75" s="105"/>
    </row>
    <row r="76" spans="1:42" ht="15" hidden="1" customHeight="1" outlineLevel="1" x14ac:dyDescent="0.25">
      <c r="A76" s="105"/>
      <c r="B76" s="107"/>
      <c r="C76" s="107"/>
      <c r="D76" s="107"/>
      <c r="E76" s="107"/>
      <c r="F76" s="106"/>
      <c r="G76" s="228"/>
      <c r="H76" s="81"/>
      <c r="I76" s="124"/>
      <c r="J76" s="124"/>
      <c r="K76" s="124"/>
      <c r="L76" s="124"/>
      <c r="M76" s="124"/>
      <c r="N76" s="124"/>
      <c r="O76" s="124"/>
      <c r="P76" s="124"/>
      <c r="Q76" s="124"/>
      <c r="R76" s="124"/>
      <c r="S76" s="124"/>
      <c r="T76" s="124"/>
      <c r="U76" s="124"/>
      <c r="V76" s="124"/>
      <c r="W76" s="124"/>
      <c r="X76" s="124"/>
      <c r="Y76" s="124"/>
      <c r="Z76" s="124"/>
      <c r="AA76" s="124"/>
      <c r="AB76" s="124"/>
      <c r="AC76" s="124">
        <f ca="1">_xlfn.XLOOKUP(AC$75,Scenarios,'Ramp Scenarios'!$C$3:$C$11)*SUM(AC69:AC69)-SUM(AC69:AC69)</f>
        <v>0</v>
      </c>
      <c r="AD76" s="124">
        <f ca="1">_xlfn.XLOOKUP(AD$75,Scenarios,'Ramp Scenarios'!$C$3:$C$11)*SUM(AD69:AD69)-SUM(AD69:AD69)</f>
        <v>0</v>
      </c>
      <c r="AE76" s="124">
        <f ca="1">_xlfn.XLOOKUP(AE$75,Scenarios,'Ramp Scenarios'!$C$3:$C$11)*SUM(AE69:AE69)-SUM(AE69:AE69)</f>
        <v>0</v>
      </c>
      <c r="AF76" s="124">
        <f ca="1">_xlfn.XLOOKUP(AF$75,Scenarios,'Ramp Scenarios'!$C$3:$C$11)*SUM(AF69:AF69)-SUM(AF69:AF69)</f>
        <v>0</v>
      </c>
      <c r="AG76" s="124">
        <f ca="1">_xlfn.XLOOKUP(AG$75,Scenarios,'Ramp Scenarios'!$C$3:$C$11)*SUM(AG69:AG69)-SUM(AG69:AG69)</f>
        <v>0</v>
      </c>
      <c r="AH76" s="124">
        <f ca="1">_xlfn.XLOOKUP(AH$75,Scenarios,'Ramp Scenarios'!$C$3:$C$11)*SUM(AH69:AH69)-SUM(AH69:AH69)</f>
        <v>0</v>
      </c>
      <c r="AI76" s="124">
        <f ca="1">_xlfn.XLOOKUP(AI$75,Scenarios,'Ramp Scenarios'!$C$3:$C$11)*SUM(AI69:AI69)-SUM(AI69:AI69)</f>
        <v>0</v>
      </c>
      <c r="AJ76" s="124">
        <f ca="1">_xlfn.XLOOKUP(AJ$75,Scenarios,'Ramp Scenarios'!$C$3:$C$11)*SUM(AJ69:AJ69)-SUM(AJ69:AJ69)</f>
        <v>0</v>
      </c>
      <c r="AK76" s="126"/>
      <c r="AL76" s="126"/>
      <c r="AM76" s="105"/>
    </row>
    <row r="77" spans="1:42" ht="15" hidden="1" customHeight="1" outlineLevel="1" x14ac:dyDescent="0.25">
      <c r="A77" s="105"/>
      <c r="B77" s="107"/>
      <c r="C77" s="107"/>
      <c r="D77" s="107"/>
      <c r="E77" s="107"/>
      <c r="F77" s="106"/>
      <c r="G77" s="228"/>
      <c r="H77" s="81"/>
      <c r="I77" s="119"/>
      <c r="J77" s="119"/>
      <c r="K77" s="119"/>
      <c r="L77" s="119"/>
      <c r="M77" s="119"/>
      <c r="N77" s="119"/>
      <c r="O77" s="119"/>
      <c r="P77" s="119"/>
      <c r="Q77" s="119"/>
      <c r="R77" s="119"/>
      <c r="S77" s="119"/>
      <c r="T77" s="119"/>
      <c r="U77" s="119"/>
      <c r="V77" s="119"/>
      <c r="W77" s="119"/>
      <c r="X77" s="119"/>
      <c r="Y77" s="119"/>
      <c r="Z77" s="119"/>
      <c r="AA77" s="119"/>
      <c r="AB77" s="119"/>
      <c r="AC77" s="119" t="e">
        <f ca="1">(AC72)*_xlfn.XLOOKUP(AC75,Scenarios,'Ramp Scenarios'!$C$3:$C$11)</f>
        <v>#REF!</v>
      </c>
      <c r="AD77" s="119" t="e">
        <f ca="1">(AD72)*_xlfn.XLOOKUP(AD75,Scenarios,'Ramp Scenarios'!$C$3:$C$11)</f>
        <v>#REF!</v>
      </c>
      <c r="AE77" s="119" t="e">
        <f ca="1">(AE72)*_xlfn.XLOOKUP(AE75,Scenarios,'Ramp Scenarios'!$C$3:$C$11)</f>
        <v>#REF!</v>
      </c>
      <c r="AF77" s="119" t="e">
        <f ca="1">(AF72)*_xlfn.XLOOKUP(AF75,Scenarios,'Ramp Scenarios'!$C$3:$C$11)</f>
        <v>#REF!</v>
      </c>
      <c r="AG77" s="119" t="e">
        <f ca="1">(AG72)*_xlfn.XLOOKUP(AG75,Scenarios,'Ramp Scenarios'!$C$3:$C$11)</f>
        <v>#REF!</v>
      </c>
      <c r="AH77" s="119" t="e">
        <f ca="1">(AH72)*_xlfn.XLOOKUP(AH75,Scenarios,'Ramp Scenarios'!$C$3:$C$11)</f>
        <v>#REF!</v>
      </c>
      <c r="AI77" s="119" t="e">
        <f ca="1">(AI72)*_xlfn.XLOOKUP(AI75,Scenarios,'Ramp Scenarios'!$C$3:$C$11)</f>
        <v>#REF!</v>
      </c>
      <c r="AJ77" s="119" t="e">
        <f ca="1">(AJ72)*_xlfn.XLOOKUP(AJ75,Scenarios,'Ramp Scenarios'!$C$3:$C$11)</f>
        <v>#REF!</v>
      </c>
      <c r="AK77" s="63"/>
      <c r="AL77" s="63"/>
      <c r="AM77" s="105"/>
    </row>
    <row r="78" spans="1:42" collapsed="1" x14ac:dyDescent="0.25">
      <c r="A78" s="105"/>
      <c r="B78" s="107"/>
      <c r="C78" s="107"/>
      <c r="D78" s="107"/>
      <c r="E78" s="107"/>
      <c r="F78" s="106"/>
      <c r="G78" s="228"/>
      <c r="H78" s="81"/>
      <c r="I78" s="119"/>
      <c r="J78" s="119"/>
      <c r="K78" s="119"/>
      <c r="L78" s="119"/>
      <c r="M78" s="119"/>
      <c r="N78" s="119"/>
      <c r="O78" s="119"/>
      <c r="P78" s="119"/>
      <c r="Q78" s="119"/>
      <c r="R78" s="119"/>
      <c r="S78" s="119"/>
      <c r="T78" s="119"/>
      <c r="U78" s="119"/>
      <c r="V78" s="119"/>
      <c r="W78" s="119"/>
      <c r="X78" s="119"/>
      <c r="Y78" s="119"/>
      <c r="Z78" s="119"/>
      <c r="AA78" s="119"/>
      <c r="AB78" s="119"/>
      <c r="AC78" s="119" t="e">
        <f t="shared" ref="AC78:AJ78" ca="1" si="10">AC77+AC71</f>
        <v>#REF!</v>
      </c>
      <c r="AD78" s="119" t="e">
        <f t="shared" ca="1" si="10"/>
        <v>#REF!</v>
      </c>
      <c r="AE78" s="119" t="e">
        <f t="shared" ca="1" si="10"/>
        <v>#REF!</v>
      </c>
      <c r="AF78" s="119" t="e">
        <f t="shared" ca="1" si="10"/>
        <v>#REF!</v>
      </c>
      <c r="AG78" s="119" t="e">
        <f t="shared" ca="1" si="10"/>
        <v>#REF!</v>
      </c>
      <c r="AH78" s="119" t="e">
        <f t="shared" ca="1" si="10"/>
        <v>#REF!</v>
      </c>
      <c r="AI78" s="119" t="e">
        <f t="shared" ca="1" si="10"/>
        <v>#REF!</v>
      </c>
      <c r="AJ78" s="119" t="e">
        <f t="shared" ca="1" si="10"/>
        <v>#REF!</v>
      </c>
      <c r="AK78" s="63"/>
      <c r="AL78" s="63"/>
      <c r="AM78" s="105"/>
    </row>
    <row r="79" spans="1:42" x14ac:dyDescent="0.25">
      <c r="C79" s="60"/>
      <c r="D79" s="60"/>
      <c r="E79" s="60"/>
      <c r="F79" s="60"/>
      <c r="G79" s="60"/>
      <c r="H79" s="66"/>
    </row>
    <row r="80" spans="1:42" x14ac:dyDescent="0.25">
      <c r="C80" s="60"/>
      <c r="G80" s="60"/>
      <c r="H80" s="67"/>
      <c r="AK80" s="61"/>
      <c r="AL80" s="61"/>
    </row>
    <row r="81" spans="3:38" x14ac:dyDescent="0.25">
      <c r="C81" s="60"/>
      <c r="G81" s="60"/>
      <c r="H81" s="67"/>
      <c r="L81" s="84"/>
    </row>
    <row r="82" spans="3:38" x14ac:dyDescent="0.25">
      <c r="C82" s="60"/>
      <c r="G82" s="60"/>
      <c r="H82" s="67"/>
      <c r="I82" s="4"/>
      <c r="J82" s="4"/>
      <c r="K82" s="4"/>
      <c r="L82" s="85"/>
    </row>
    <row r="83" spans="3:38" x14ac:dyDescent="0.25">
      <c r="C83" s="60"/>
      <c r="G83" s="60"/>
      <c r="H83" s="67"/>
      <c r="I83" s="4"/>
      <c r="J83" s="4"/>
      <c r="K83" s="4"/>
      <c r="L83" s="86"/>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row>
    <row r="84" spans="3:38" x14ac:dyDescent="0.25">
      <c r="C84" s="60"/>
      <c r="G84" s="60"/>
      <c r="H84" s="67"/>
      <c r="I84" s="4"/>
      <c r="J84" s="4"/>
      <c r="K84" s="4"/>
      <c r="L84" s="87"/>
    </row>
    <row r="85" spans="3:38" x14ac:dyDescent="0.25">
      <c r="C85" s="60"/>
      <c r="G85" s="7"/>
      <c r="H85" s="67"/>
      <c r="I85" s="4"/>
      <c r="J85" s="4"/>
      <c r="K85" s="4"/>
      <c r="L85" s="88"/>
    </row>
    <row r="86" spans="3:38" x14ac:dyDescent="0.25">
      <c r="C86" s="60"/>
      <c r="G86" s="7"/>
      <c r="H86" s="67"/>
      <c r="I86" s="4"/>
      <c r="J86" s="4"/>
      <c r="K86" s="4"/>
      <c r="L86" s="4"/>
    </row>
    <row r="87" spans="3:38" x14ac:dyDescent="0.25">
      <c r="C87" s="60"/>
      <c r="G87" s="60"/>
      <c r="H87" s="67"/>
      <c r="I87" s="4"/>
      <c r="J87" s="4"/>
      <c r="K87" s="4"/>
      <c r="L87" s="4"/>
    </row>
    <row r="88" spans="3:38" x14ac:dyDescent="0.25">
      <c r="C88" s="60"/>
      <c r="G88" s="62"/>
      <c r="I88" s="4"/>
      <c r="J88" s="4"/>
      <c r="K88" s="4"/>
      <c r="L88" s="4"/>
    </row>
    <row r="89" spans="3:38" x14ac:dyDescent="0.25">
      <c r="C89" s="60"/>
      <c r="G89" s="62"/>
      <c r="I89" s="4"/>
      <c r="J89" s="4"/>
      <c r="K89" s="4"/>
      <c r="L89" s="4"/>
    </row>
    <row r="90" spans="3:38" x14ac:dyDescent="0.25">
      <c r="C90" s="60"/>
      <c r="G90" s="62"/>
      <c r="I90" s="4"/>
      <c r="J90" s="4"/>
      <c r="K90" s="4"/>
      <c r="L90" s="4"/>
    </row>
    <row r="91" spans="3:38" x14ac:dyDescent="0.25">
      <c r="D91" s="62"/>
      <c r="E91" s="62"/>
      <c r="F91" s="62"/>
      <c r="G91" s="62"/>
      <c r="I91" s="4"/>
      <c r="J91" s="4"/>
      <c r="K91" s="4"/>
      <c r="L91" s="4"/>
    </row>
    <row r="92" spans="3:38" x14ac:dyDescent="0.25">
      <c r="D92" s="62"/>
      <c r="E92" s="62"/>
      <c r="F92" s="62"/>
      <c r="G92" s="62"/>
      <c r="I92" s="4"/>
      <c r="J92" s="4"/>
      <c r="K92" s="4"/>
      <c r="L92" s="4"/>
    </row>
    <row r="93" spans="3:38" x14ac:dyDescent="0.25">
      <c r="D93" s="62"/>
      <c r="E93" s="62"/>
      <c r="F93" s="62"/>
      <c r="G93" s="62"/>
      <c r="I93" s="4"/>
      <c r="J93" s="4"/>
      <c r="K93" s="4"/>
      <c r="L93" s="4"/>
    </row>
    <row r="94" spans="3:38" x14ac:dyDescent="0.25">
      <c r="D94" s="62"/>
      <c r="E94" s="62"/>
      <c r="F94" s="62"/>
      <c r="G94" s="62"/>
      <c r="I94" s="4"/>
      <c r="J94" s="4"/>
      <c r="K94" s="4"/>
      <c r="L94" s="4"/>
    </row>
    <row r="95" spans="3:38" x14ac:dyDescent="0.25">
      <c r="D95" s="62"/>
      <c r="E95" s="62"/>
      <c r="F95" s="62"/>
      <c r="G95" s="62"/>
      <c r="I95" s="4"/>
      <c r="J95" s="4"/>
      <c r="K95" s="4"/>
      <c r="L95" s="4"/>
    </row>
    <row r="96" spans="3:38" x14ac:dyDescent="0.25">
      <c r="D96" s="62"/>
      <c r="E96" s="62"/>
      <c r="F96" s="62"/>
      <c r="G96" s="62"/>
      <c r="I96" s="4"/>
      <c r="J96" s="4"/>
      <c r="K96" s="4"/>
      <c r="L96" s="4"/>
    </row>
    <row r="97" spans="4:12" x14ac:dyDescent="0.25">
      <c r="D97" s="62"/>
      <c r="E97" s="62"/>
      <c r="F97" s="62"/>
      <c r="G97" s="62"/>
      <c r="I97" s="4"/>
      <c r="J97" s="4"/>
      <c r="K97" s="4"/>
      <c r="L97" s="4"/>
    </row>
    <row r="98" spans="4:12" x14ac:dyDescent="0.25">
      <c r="D98" s="62"/>
      <c r="E98" s="62"/>
      <c r="F98" s="62"/>
      <c r="G98" s="62"/>
      <c r="I98" s="4"/>
      <c r="J98" s="4"/>
      <c r="K98" s="4"/>
      <c r="L98" s="4"/>
    </row>
    <row r="99" spans="4:12" x14ac:dyDescent="0.25">
      <c r="D99" s="62"/>
      <c r="E99" s="62"/>
      <c r="F99" s="62"/>
      <c r="G99" s="62"/>
      <c r="I99" s="4"/>
      <c r="J99" s="4"/>
      <c r="K99" s="4"/>
      <c r="L99" s="4"/>
    </row>
    <row r="100" spans="4:12" x14ac:dyDescent="0.25">
      <c r="D100" s="62"/>
      <c r="E100" s="62"/>
      <c r="F100" s="62"/>
      <c r="G100" s="62"/>
      <c r="I100" s="4"/>
      <c r="J100" s="4"/>
      <c r="K100" s="4"/>
      <c r="L100" s="4"/>
    </row>
    <row r="101" spans="4:12" x14ac:dyDescent="0.25">
      <c r="D101" s="62"/>
      <c r="E101" s="62"/>
      <c r="F101" s="62"/>
      <c r="G101" s="62"/>
      <c r="I101" s="4"/>
      <c r="J101" s="4"/>
      <c r="K101" s="4"/>
      <c r="L101" s="4"/>
    </row>
    <row r="102" spans="4:12" x14ac:dyDescent="0.25">
      <c r="D102" s="62"/>
      <c r="E102" s="62"/>
      <c r="F102" s="62"/>
      <c r="G102" s="62"/>
      <c r="I102" s="4"/>
      <c r="J102" s="4"/>
      <c r="K102" s="4"/>
      <c r="L102" s="4"/>
    </row>
    <row r="103" spans="4:12" x14ac:dyDescent="0.25">
      <c r="D103" s="62"/>
      <c r="E103" s="62"/>
      <c r="F103" s="62"/>
      <c r="G103" s="62"/>
      <c r="I103" s="4"/>
      <c r="J103" s="4"/>
      <c r="K103" s="4"/>
      <c r="L103" s="4"/>
    </row>
    <row r="104" spans="4:12" x14ac:dyDescent="0.25">
      <c r="D104" s="62"/>
      <c r="E104" s="62"/>
      <c r="F104" s="62"/>
      <c r="G104" s="62"/>
      <c r="I104" s="4"/>
      <c r="J104" s="4"/>
      <c r="K104" s="4"/>
      <c r="L104" s="4"/>
    </row>
    <row r="105" spans="4:12" x14ac:dyDescent="0.25">
      <c r="D105" s="62"/>
      <c r="E105" s="62"/>
      <c r="F105" s="62"/>
      <c r="G105" s="62"/>
      <c r="I105" s="4"/>
      <c r="J105" s="4"/>
      <c r="K105" s="4"/>
      <c r="L105" s="4"/>
    </row>
    <row r="106" spans="4:12" x14ac:dyDescent="0.25">
      <c r="D106" s="62"/>
      <c r="E106" s="62"/>
      <c r="F106" s="62"/>
      <c r="G106" s="62"/>
      <c r="I106" s="4"/>
      <c r="J106" s="4"/>
      <c r="K106" s="4"/>
      <c r="L106" s="4"/>
    </row>
    <row r="107" spans="4:12" x14ac:dyDescent="0.25">
      <c r="D107" s="62"/>
      <c r="E107" s="62"/>
      <c r="F107" s="62"/>
      <c r="G107" s="62"/>
      <c r="I107" s="4"/>
      <c r="J107" s="4"/>
      <c r="K107" s="4"/>
      <c r="L107" s="4"/>
    </row>
    <row r="108" spans="4:12" x14ac:dyDescent="0.25">
      <c r="D108" s="62"/>
      <c r="E108" s="62"/>
      <c r="F108" s="62"/>
      <c r="G108" s="62"/>
      <c r="I108" s="4"/>
      <c r="J108" s="4"/>
      <c r="K108" s="4"/>
      <c r="L108" s="4"/>
    </row>
    <row r="109" spans="4:12" x14ac:dyDescent="0.25">
      <c r="D109" s="62"/>
      <c r="E109" s="62"/>
      <c r="F109" s="62"/>
      <c r="G109" s="62"/>
      <c r="I109" s="4"/>
      <c r="J109" s="4"/>
      <c r="K109" s="4"/>
      <c r="L109" s="4"/>
    </row>
    <row r="110" spans="4:12" x14ac:dyDescent="0.25">
      <c r="D110" s="62"/>
      <c r="E110" s="62"/>
      <c r="F110" s="62"/>
      <c r="G110" s="62"/>
      <c r="I110" s="4"/>
      <c r="J110" s="4"/>
      <c r="K110" s="4"/>
      <c r="L110" s="4"/>
    </row>
    <row r="111" spans="4:12" x14ac:dyDescent="0.25">
      <c r="I111" s="4"/>
      <c r="J111" s="4"/>
      <c r="K111" s="4"/>
      <c r="L111" s="4"/>
    </row>
    <row r="112" spans="4:12" x14ac:dyDescent="0.25">
      <c r="I112" s="4"/>
      <c r="J112" s="4"/>
      <c r="K112" s="4"/>
      <c r="L112" s="4"/>
    </row>
    <row r="113" spans="9:12" x14ac:dyDescent="0.25">
      <c r="I113" s="4"/>
      <c r="J113" s="4"/>
      <c r="K113" s="4"/>
      <c r="L113" s="4"/>
    </row>
    <row r="114" spans="9:12" x14ac:dyDescent="0.25">
      <c r="I114" s="4"/>
      <c r="J114" s="4"/>
      <c r="K114" s="4"/>
      <c r="L114" s="4"/>
    </row>
    <row r="115" spans="9:12" x14ac:dyDescent="0.25">
      <c r="I115" s="4"/>
      <c r="J115" s="4"/>
      <c r="K115" s="4"/>
      <c r="L115" s="4"/>
    </row>
    <row r="116" spans="9:12" x14ac:dyDescent="0.25">
      <c r="I116" s="4"/>
      <c r="J116" s="4"/>
      <c r="K116" s="4"/>
      <c r="L116" s="4"/>
    </row>
    <row r="117" spans="9:12" x14ac:dyDescent="0.25">
      <c r="I117" s="4"/>
      <c r="J117" s="4"/>
      <c r="K117" s="4"/>
      <c r="L117" s="4"/>
    </row>
    <row r="118" spans="9:12" x14ac:dyDescent="0.25">
      <c r="I118" s="4"/>
      <c r="J118" s="4"/>
      <c r="K118" s="4"/>
      <c r="L118" s="4"/>
    </row>
    <row r="119" spans="9:12" x14ac:dyDescent="0.25">
      <c r="I119" s="4"/>
      <c r="J119" s="4"/>
      <c r="K119" s="4"/>
      <c r="L119" s="4"/>
    </row>
    <row r="120" spans="9:12" x14ac:dyDescent="0.25">
      <c r="I120" s="4"/>
      <c r="J120" s="4"/>
      <c r="K120" s="4"/>
      <c r="L120" s="4"/>
    </row>
  </sheetData>
  <sheetProtection algorithmName="SHA-512" hashValue="H9rll3LOBaX+dLnSd5P9HE8iNz8+dDZnWOuoP1SS1TfKbY0w4kK8Gdszr7oOjOMYdQmfI+EIyrzVAuPJBEL8Rw==" saltValue="oQmJX6qmpMcJYy6Al50mzg==" spinCount="100000" sheet="1" autoFilter="0"/>
  <autoFilter ref="A13:AP66" xr:uid="{8E2E9790-3457-4594-B244-8601F9C882DA}"/>
  <mergeCells count="26">
    <mergeCell ref="G71:G73"/>
    <mergeCell ref="G74:G78"/>
    <mergeCell ref="Q12:T12"/>
    <mergeCell ref="U12:X12"/>
    <mergeCell ref="Y12:AB12"/>
    <mergeCell ref="G68:G70"/>
    <mergeCell ref="AM10:AM12"/>
    <mergeCell ref="A11:B12"/>
    <mergeCell ref="C11:C12"/>
    <mergeCell ref="D11:H11"/>
    <mergeCell ref="D12:H12"/>
    <mergeCell ref="I12:L12"/>
    <mergeCell ref="M12:P12"/>
    <mergeCell ref="AC12:AF12"/>
    <mergeCell ref="AG12:AJ12"/>
    <mergeCell ref="A10:C10"/>
    <mergeCell ref="D10:H10"/>
    <mergeCell ref="A68:F68"/>
    <mergeCell ref="A69:B69"/>
    <mergeCell ref="C73:F73"/>
    <mergeCell ref="C69:F69"/>
    <mergeCell ref="A70:B70"/>
    <mergeCell ref="C70:F70"/>
    <mergeCell ref="C71:F71"/>
    <mergeCell ref="A72:B72"/>
    <mergeCell ref="C72:F72"/>
  </mergeCells>
  <phoneticPr fontId="44" type="noConversion"/>
  <conditionalFormatting sqref="A9:AM9">
    <cfRule type="expression" dxfId="42" priority="38">
      <formula>$AM$10="MS Project"</formula>
    </cfRule>
    <cfRule type="expression" dxfId="41" priority="39">
      <formula>$AM$10="Complete"</formula>
    </cfRule>
    <cfRule type="expression" dxfId="40" priority="40">
      <formula>$AM$10="In Progress"</formula>
    </cfRule>
  </conditionalFormatting>
  <conditionalFormatting sqref="B14:H66">
    <cfRule type="expression" dxfId="39" priority="4">
      <formula>AND(#REF!&gt;0,$B14="")</formula>
    </cfRule>
  </conditionalFormatting>
  <conditionalFormatting sqref="H14:AJ66">
    <cfRule type="expression" dxfId="38" priority="1">
      <formula>SEARCH("inc",$H14,1)=1</formula>
    </cfRule>
  </conditionalFormatting>
  <conditionalFormatting sqref="I14:AJ66">
    <cfRule type="expression" dxfId="37" priority="2">
      <formula>$AM$10="MS Project"</formula>
    </cfRule>
    <cfRule type="expression" dxfId="36" priority="3">
      <formula>$AM$10="Complete"</formula>
    </cfRule>
  </conditionalFormatting>
  <conditionalFormatting sqref="I70:AJ70">
    <cfRule type="colorScale" priority="22">
      <colorScale>
        <cfvo type="min"/>
        <cfvo type="max"/>
        <color theme="1" tint="0.249977111117893"/>
        <color rgb="FFC00000"/>
      </colorScale>
    </cfRule>
  </conditionalFormatting>
  <conditionalFormatting sqref="I74:AJ74">
    <cfRule type="cellIs" dxfId="35" priority="27" operator="greaterThan">
      <formula>15</formula>
    </cfRule>
    <cfRule type="cellIs" dxfId="34" priority="28" operator="greaterThan">
      <formula>10</formula>
    </cfRule>
    <cfRule type="cellIs" dxfId="33" priority="29" operator="greaterThan">
      <formula>4</formula>
    </cfRule>
  </conditionalFormatting>
  <conditionalFormatting sqref="AM10:AM11">
    <cfRule type="cellIs" dxfId="32" priority="32" operator="equal">
      <formula>"MS Project"</formula>
    </cfRule>
    <cfRule type="cellIs" dxfId="31" priority="33" operator="equal">
      <formula>"In Progress"</formula>
    </cfRule>
    <cfRule type="cellIs" dxfId="30" priority="34" operator="equal">
      <formula>"Complete"</formula>
    </cfRule>
  </conditionalFormatting>
  <dataValidations count="7">
    <dataValidation type="list" allowBlank="1" showErrorMessage="1" errorTitle="Invalid" error="Please select a valid entry" sqref="H14:H66" xr:uid="{BF98D79E-BFCC-40D0-8541-6D5EF6A0907A}">
      <formula1>HCType</formula1>
    </dataValidation>
    <dataValidation type="list" allowBlank="1" showInputMessage="1" showErrorMessage="1" sqref="I75:AJ75" xr:uid="{FE277D77-9AA1-49DE-AE5F-52279BC1188D}">
      <formula1>Scenarios</formula1>
    </dataValidation>
    <dataValidation type="list" allowBlank="1" showInputMessage="1" showErrorMessage="1" sqref="AM10:AM11" xr:uid="{43AD0E0C-E744-495D-BF26-656E36088001}">
      <formula1>Status</formula1>
    </dataValidation>
    <dataValidation type="list" allowBlank="1" showInputMessage="1" showErrorMessage="1" sqref="F14:F66" xr:uid="{5EA2BF60-8D2F-45D8-B27B-3C14457169C5}">
      <formula1>Location</formula1>
    </dataValidation>
    <dataValidation type="list" allowBlank="1" showErrorMessage="1" errorTitle="Invalid" error="Please select a valid entry" sqref="B14:B66" xr:uid="{82CFE250-1D75-448E-ACED-29D5616FC8AE}">
      <formula1>CVP</formula1>
    </dataValidation>
    <dataValidation type="list" allowBlank="1" showErrorMessage="1" errorTitle="Invalid" error="Please select a valid entry" sqref="C14:C66" xr:uid="{8AAFDD2B-DD07-4EF5-99D3-B5C0CB070A69}">
      <formula1>INDIRECT($B14&amp;"Team")</formula1>
    </dataValidation>
    <dataValidation type="list" allowBlank="1" showErrorMessage="1" errorTitle="Invalid" error="Please select a valid entry" prompt="Select allocation file" sqref="G14:G66" xr:uid="{785CA01D-0295-4269-A93D-D6D26ECA0565}">
      <formula1>INDIRECT(B14)</formula1>
    </dataValidation>
  </dataValidations>
  <pageMargins left="0.7" right="0.7" top="0.75" bottom="0.75" header="0.3" footer="0.3"/>
  <pageSetup orientation="portrait" r:id="rId1"/>
  <headerFooter>
    <oddHeader>&amp;L&amp;"Calibri"&amp;10&amp;K0000FF [AMD Official Use Only - AMD Internal Distribution Only]&amp;1#_x000D_</oddHeader>
  </headerFooter>
  <drawing r:id="rId2"/>
  <extLst>
    <ext xmlns:x14="http://schemas.microsoft.com/office/spreadsheetml/2009/9/main" uri="{05C60535-1F16-4fd2-B633-F4F36F0B64E0}">
      <x14:sparklineGroups xmlns:xm="http://schemas.microsoft.com/office/excel/2006/main">
        <x14:sparklineGroup type="column" displayEmptyCellsAs="gap" high="1" minAxisType="group" xr2:uid="{8173FB03-62DD-4D03-A782-917F3ACD0713}">
          <x14:colorSeries rgb="FF5F5F5F"/>
          <x14:colorNegative rgb="FFFFB620"/>
          <x14:colorAxis rgb="FF000000"/>
          <x14:colorMarkers rgb="FFD70077"/>
          <x14:colorFirst rgb="FF5687C2"/>
          <x14:colorLast rgb="FF359CEB"/>
          <x14:colorHigh rgb="FF56BE79"/>
          <x14:colorLow rgb="FFFF5055"/>
          <x14:sparklines>
            <x14:sparkline>
              <xm:f>'Capitola v1.0'!I14:AJ14</xm:f>
              <xm:sqref>AM14</xm:sqref>
            </x14:sparkline>
            <x14:sparkline>
              <xm:f>'Capitola v1.0'!I15:AJ15</xm:f>
              <xm:sqref>AM15</xm:sqref>
            </x14:sparkline>
            <x14:sparkline>
              <xm:f>'Capitola v1.0'!I16:AJ16</xm:f>
              <xm:sqref>AM16</xm:sqref>
            </x14:sparkline>
            <x14:sparkline>
              <xm:f>'Capitola v1.0'!I17:AJ17</xm:f>
              <xm:sqref>AM17</xm:sqref>
            </x14:sparkline>
            <x14:sparkline>
              <xm:f>'Capitola v1.0'!I18:AJ18</xm:f>
              <xm:sqref>AM18</xm:sqref>
            </x14:sparkline>
            <x14:sparkline>
              <xm:f>'Capitola v1.0'!I19:AJ19</xm:f>
              <xm:sqref>AM19</xm:sqref>
            </x14:sparkline>
            <x14:sparkline>
              <xm:f>'Capitola v1.0'!I20:AJ20</xm:f>
              <xm:sqref>AM20</xm:sqref>
            </x14:sparkline>
            <x14:sparkline>
              <xm:f>'Capitola v1.0'!I21:AJ21</xm:f>
              <xm:sqref>AM21</xm:sqref>
            </x14:sparkline>
            <x14:sparkline>
              <xm:f>'Capitola v1.0'!I22:AJ22</xm:f>
              <xm:sqref>AM22</xm:sqref>
            </x14:sparkline>
            <x14:sparkline>
              <xm:f>'Capitola v1.0'!I23:AJ23</xm:f>
              <xm:sqref>AM23</xm:sqref>
            </x14:sparkline>
            <x14:sparkline>
              <xm:f>'Capitola v1.0'!I24:AJ24</xm:f>
              <xm:sqref>AM24</xm:sqref>
            </x14:sparkline>
            <x14:sparkline>
              <xm:f>'Capitola v1.0'!I25:AJ25</xm:f>
              <xm:sqref>AM25</xm:sqref>
            </x14:sparkline>
            <x14:sparkline>
              <xm:f>'Capitola v1.0'!I26:AJ26</xm:f>
              <xm:sqref>AM26</xm:sqref>
            </x14:sparkline>
            <x14:sparkline>
              <xm:f>'Capitola v1.0'!I27:AJ27</xm:f>
              <xm:sqref>AM27</xm:sqref>
            </x14:sparkline>
            <x14:sparkline>
              <xm:f>'Capitola v1.0'!I28:AJ28</xm:f>
              <xm:sqref>AM28</xm:sqref>
            </x14:sparkline>
            <x14:sparkline>
              <xm:f>'Capitola v1.0'!I29:AJ29</xm:f>
              <xm:sqref>AM29</xm:sqref>
            </x14:sparkline>
            <x14:sparkline>
              <xm:f>'Capitola v1.0'!I30:AJ30</xm:f>
              <xm:sqref>AM30</xm:sqref>
            </x14:sparkline>
            <x14:sparkline>
              <xm:f>'Capitola v1.0'!I31:AJ31</xm:f>
              <xm:sqref>AM31</xm:sqref>
            </x14:sparkline>
            <x14:sparkline>
              <xm:f>'Capitola v1.0'!I32:AJ32</xm:f>
              <xm:sqref>AM32</xm:sqref>
            </x14:sparkline>
            <x14:sparkline>
              <xm:f>'Capitola v1.0'!I33:AJ33</xm:f>
              <xm:sqref>AM33</xm:sqref>
            </x14:sparkline>
            <x14:sparkline>
              <xm:f>'Capitola v1.0'!I34:AJ34</xm:f>
              <xm:sqref>AM34</xm:sqref>
            </x14:sparkline>
            <x14:sparkline>
              <xm:f>'Capitola v1.0'!I35:AJ35</xm:f>
              <xm:sqref>AM35</xm:sqref>
            </x14:sparkline>
            <x14:sparkline>
              <xm:f>'Capitola v1.0'!I36:AJ36</xm:f>
              <xm:sqref>AM36</xm:sqref>
            </x14:sparkline>
            <x14:sparkline>
              <xm:f>'Capitola v1.0'!I37:AJ37</xm:f>
              <xm:sqref>AM37</xm:sqref>
            </x14:sparkline>
            <x14:sparkline>
              <xm:f>'Capitola v1.0'!I38:AJ38</xm:f>
              <xm:sqref>AM38</xm:sqref>
            </x14:sparkline>
            <x14:sparkline>
              <xm:f>'Capitola v1.0'!I39:AJ39</xm:f>
              <xm:sqref>AM39</xm:sqref>
            </x14:sparkline>
            <x14:sparkline>
              <xm:f>'Capitola v1.0'!I40:AJ40</xm:f>
              <xm:sqref>AM40</xm:sqref>
            </x14:sparkline>
            <x14:sparkline>
              <xm:f>'Capitola v1.0'!I41:AJ41</xm:f>
              <xm:sqref>AM41</xm:sqref>
            </x14:sparkline>
            <x14:sparkline>
              <xm:f>'Capitola v1.0'!I42:AJ42</xm:f>
              <xm:sqref>AM42</xm:sqref>
            </x14:sparkline>
            <x14:sparkline>
              <xm:f>'Capitola v1.0'!I43:AJ43</xm:f>
              <xm:sqref>AM43</xm:sqref>
            </x14:sparkline>
            <x14:sparkline>
              <xm:f>'Capitola v1.0'!I44:AJ44</xm:f>
              <xm:sqref>AM44</xm:sqref>
            </x14:sparkline>
            <x14:sparkline>
              <xm:f>'Capitola v1.0'!I45:AJ45</xm:f>
              <xm:sqref>AM45</xm:sqref>
            </x14:sparkline>
            <x14:sparkline>
              <xm:f>'Capitola v1.0'!I46:AJ46</xm:f>
              <xm:sqref>AM46</xm:sqref>
            </x14:sparkline>
            <x14:sparkline>
              <xm:f>'Capitola v1.0'!I47:AJ47</xm:f>
              <xm:sqref>AM47</xm:sqref>
            </x14:sparkline>
            <x14:sparkline>
              <xm:f>'Capitola v1.0'!I48:AJ48</xm:f>
              <xm:sqref>AM48</xm:sqref>
            </x14:sparkline>
            <x14:sparkline>
              <xm:f>'Capitola v1.0'!I49:AJ49</xm:f>
              <xm:sqref>AM49</xm:sqref>
            </x14:sparkline>
            <x14:sparkline>
              <xm:f>'Capitola v1.0'!I50:AJ50</xm:f>
              <xm:sqref>AM50</xm:sqref>
            </x14:sparkline>
            <x14:sparkline>
              <xm:f>'Capitola v1.0'!I51:AJ51</xm:f>
              <xm:sqref>AM51</xm:sqref>
            </x14:sparkline>
            <x14:sparkline>
              <xm:f>'Capitola v1.0'!I52:AJ52</xm:f>
              <xm:sqref>AM52</xm:sqref>
            </x14:sparkline>
            <x14:sparkline>
              <xm:f>'Capitola v1.0'!I53:AJ53</xm:f>
              <xm:sqref>AM53</xm:sqref>
            </x14:sparkline>
            <x14:sparkline>
              <xm:f>'Capitola v1.0'!I54:AJ54</xm:f>
              <xm:sqref>AM54</xm:sqref>
            </x14:sparkline>
            <x14:sparkline>
              <xm:f>'Capitola v1.0'!I55:AJ55</xm:f>
              <xm:sqref>AM55</xm:sqref>
            </x14:sparkline>
            <x14:sparkline>
              <xm:f>'Capitola v1.0'!I56:AJ56</xm:f>
              <xm:sqref>AM56</xm:sqref>
            </x14:sparkline>
            <x14:sparkline>
              <xm:f>'Capitola v1.0'!I57:AJ57</xm:f>
              <xm:sqref>AM57</xm:sqref>
            </x14:sparkline>
            <x14:sparkline>
              <xm:f>'Capitola v1.0'!I58:AJ58</xm:f>
              <xm:sqref>AM58</xm:sqref>
            </x14:sparkline>
            <x14:sparkline>
              <xm:f>'Capitola v1.0'!I59:AJ59</xm:f>
              <xm:sqref>AM59</xm:sqref>
            </x14:sparkline>
            <x14:sparkline>
              <xm:f>'Capitola v1.0'!I60:AJ60</xm:f>
              <xm:sqref>AM60</xm:sqref>
            </x14:sparkline>
            <x14:sparkline>
              <xm:f>'Capitola v1.0'!I61:AJ61</xm:f>
              <xm:sqref>AM61</xm:sqref>
            </x14:sparkline>
            <x14:sparkline>
              <xm:f>'Capitola v1.0'!I62:AJ62</xm:f>
              <xm:sqref>AM62</xm:sqref>
            </x14:sparkline>
            <x14:sparkline>
              <xm:f>'Capitola v1.0'!I63:AJ63</xm:f>
              <xm:sqref>AM63</xm:sqref>
            </x14:sparkline>
            <x14:sparkline>
              <xm:f>'Capitola v1.0'!I64:AJ64</xm:f>
              <xm:sqref>AM64</xm:sqref>
            </x14:sparkline>
            <x14:sparkline>
              <xm:f>'Capitola v1.0'!I65:AJ65</xm:f>
              <xm:sqref>AM65</xm:sqref>
            </x14:sparkline>
            <x14:sparkline>
              <xm:f>'Capitola v1.0'!I66:AJ66</xm:f>
              <xm:sqref>AM66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2C72C-3DD0-46CE-BE27-3F455CC47811}">
  <sheetPr published="0">
    <tabColor rgb="FF00B050"/>
  </sheetPr>
  <dimension ref="A1:AM71"/>
  <sheetViews>
    <sheetView showGridLines="0" tabSelected="1" topLeftCell="A4" zoomScale="70" zoomScaleNormal="70" workbookViewId="0">
      <selection activeCell="E15" sqref="E15"/>
    </sheetView>
  </sheetViews>
  <sheetFormatPr defaultColWidth="8.42578125" defaultRowHeight="15" outlineLevelRow="1" outlineLevelCol="1" x14ac:dyDescent="0.25"/>
  <cols>
    <col min="1" max="1" width="10.42578125" customWidth="1" outlineLevel="1"/>
    <col min="2" max="2" width="10.42578125" customWidth="1"/>
    <col min="3" max="3" width="27.5703125" customWidth="1"/>
    <col min="4" max="5" width="33.5703125" customWidth="1"/>
    <col min="6" max="6" width="11" customWidth="1" outlineLevel="1"/>
    <col min="7" max="7" width="23" customWidth="1" outlineLevel="1"/>
    <col min="8" max="8" width="19.5703125" bestFit="1" customWidth="1"/>
    <col min="9" max="11" width="6.42578125" hidden="1" customWidth="1"/>
    <col min="12" max="12" width="6.42578125" customWidth="1"/>
    <col min="13" max="13" width="6.42578125" customWidth="1" outlineLevel="1"/>
    <col min="14" max="14" width="6.7109375" customWidth="1" outlineLevel="1"/>
    <col min="15" max="15" width="7" customWidth="1" outlineLevel="1"/>
    <col min="16" max="16" width="7.28515625" customWidth="1" outlineLevel="1"/>
    <col min="17" max="17" width="6.7109375" customWidth="1" outlineLevel="1"/>
    <col min="18" max="18" width="7.85546875" bestFit="1" customWidth="1" outlineLevel="1"/>
    <col min="19" max="20" width="8.5703125" bestFit="1" customWidth="1" outlineLevel="1"/>
    <col min="21" max="25" width="8.140625" bestFit="1" customWidth="1" outlineLevel="1"/>
    <col min="26" max="27" width="6.7109375" hidden="1" customWidth="1" outlineLevel="1"/>
    <col min="28" max="36" width="6.42578125" hidden="1" customWidth="1" outlineLevel="1"/>
    <col min="37" max="37" width="11.42578125" bestFit="1" customWidth="1"/>
    <col min="38" max="38" width="9.42578125" customWidth="1"/>
    <col min="39" max="39" width="16.42578125" customWidth="1"/>
    <col min="40" max="40" width="8.42578125" customWidth="1"/>
  </cols>
  <sheetData>
    <row r="1" spans="1:39" ht="45" x14ac:dyDescent="0.25">
      <c r="D1" s="158" t="s">
        <v>287</v>
      </c>
      <c r="E1" s="2" t="s">
        <v>288</v>
      </c>
    </row>
    <row r="2" spans="1:39" ht="45" x14ac:dyDescent="0.25">
      <c r="D2" s="160" t="s">
        <v>289</v>
      </c>
      <c r="E2" s="2" t="s">
        <v>290</v>
      </c>
    </row>
    <row r="3" spans="1:39" ht="60" x14ac:dyDescent="0.25">
      <c r="D3" s="162" t="s">
        <v>291</v>
      </c>
      <c r="E3" s="2" t="s">
        <v>292</v>
      </c>
    </row>
    <row r="4" spans="1:39" ht="45" x14ac:dyDescent="0.25">
      <c r="D4" s="164" t="s">
        <v>293</v>
      </c>
      <c r="E4" s="2" t="s">
        <v>294</v>
      </c>
    </row>
    <row r="5" spans="1:39" ht="30" x14ac:dyDescent="0.25">
      <c r="D5" s="166" t="s">
        <v>295</v>
      </c>
      <c r="E5" s="2" t="s">
        <v>296</v>
      </c>
    </row>
    <row r="6" spans="1:39" ht="45" x14ac:dyDescent="0.25">
      <c r="D6" s="168" t="s">
        <v>297</v>
      </c>
      <c r="E6" s="2" t="s">
        <v>298</v>
      </c>
    </row>
    <row r="9" spans="1:39" ht="19.5" customHeight="1" x14ac:dyDescent="0.25">
      <c r="A9" s="92" t="str">
        <f>_xlfn.XLOOKUP(AM10,Status,statusnote,"",0,1)</f>
        <v>Sizing is OPEN.  Please UPDATE your estimates for your teams in this sheet.  Also UPDATE the scope, assumptions and risks in the Assumptions tab.</v>
      </c>
      <c r="B9" s="93"/>
      <c r="C9" s="93"/>
      <c r="D9" s="36"/>
      <c r="E9" s="36"/>
      <c r="F9" s="36"/>
      <c r="G9" s="36"/>
      <c r="H9" s="36"/>
      <c r="I9" s="90"/>
      <c r="J9" s="90"/>
      <c r="K9" s="90"/>
      <c r="L9" s="90"/>
      <c r="M9" s="90"/>
      <c r="N9" s="90"/>
      <c r="O9" s="90"/>
      <c r="P9" s="90"/>
      <c r="Q9" s="90"/>
      <c r="R9" s="90"/>
      <c r="S9" s="90"/>
      <c r="T9" s="91"/>
      <c r="U9" s="91"/>
      <c r="V9" s="91"/>
      <c r="W9" s="91"/>
      <c r="X9" s="37"/>
      <c r="Y9" s="37"/>
      <c r="Z9" s="37"/>
      <c r="AA9" s="37"/>
      <c r="AB9" s="37"/>
      <c r="AC9" s="37"/>
      <c r="AD9" s="37"/>
      <c r="AE9" s="37"/>
      <c r="AF9" s="37"/>
      <c r="AG9" s="37"/>
      <c r="AH9" s="37"/>
      <c r="AI9" s="37"/>
      <c r="AJ9" s="37"/>
      <c r="AK9" s="37"/>
      <c r="AL9" s="37"/>
      <c r="AM9" s="154" t="s">
        <v>0</v>
      </c>
    </row>
    <row r="10" spans="1:39" ht="75" customHeight="1" x14ac:dyDescent="0.25">
      <c r="A10" s="219" t="s">
        <v>238</v>
      </c>
      <c r="B10" s="219"/>
      <c r="C10" s="220"/>
      <c r="D10" s="221" t="s">
        <v>239</v>
      </c>
      <c r="E10" s="222"/>
      <c r="F10" s="223"/>
      <c r="G10" s="223"/>
      <c r="H10" s="223"/>
      <c r="I10" s="39"/>
      <c r="J10" s="39"/>
      <c r="K10" s="39"/>
      <c r="L10" s="103"/>
      <c r="M10" s="103"/>
      <c r="N10" s="103"/>
      <c r="O10" s="103"/>
      <c r="P10" s="39"/>
      <c r="Q10" s="39"/>
      <c r="R10" s="39"/>
      <c r="S10" s="39"/>
      <c r="T10" s="39"/>
      <c r="U10" s="39"/>
      <c r="V10" s="39"/>
      <c r="W10" s="39"/>
      <c r="X10" s="39"/>
      <c r="Y10" s="39"/>
      <c r="Z10" s="39"/>
      <c r="AA10" s="39"/>
      <c r="AB10" s="39"/>
      <c r="AC10" s="39"/>
      <c r="AD10" s="39"/>
      <c r="AE10" s="39"/>
      <c r="AF10" s="39"/>
      <c r="AG10" s="39"/>
      <c r="AH10" s="39"/>
      <c r="AI10" s="39"/>
      <c r="AJ10" s="39"/>
      <c r="AK10" s="102"/>
      <c r="AL10" s="102"/>
      <c r="AM10" s="202" t="s">
        <v>1</v>
      </c>
    </row>
    <row r="11" spans="1:39" x14ac:dyDescent="0.25">
      <c r="A11" s="204" t="s">
        <v>2</v>
      </c>
      <c r="B11" s="205"/>
      <c r="C11" s="208">
        <v>46134</v>
      </c>
      <c r="D11" s="210" t="s">
        <v>3</v>
      </c>
      <c r="E11" s="211"/>
      <c r="F11" s="211"/>
      <c r="G11" s="211"/>
      <c r="H11" s="211"/>
      <c r="I11" s="39"/>
      <c r="J11" s="39"/>
      <c r="K11" s="39"/>
      <c r="L11" s="103"/>
      <c r="M11" s="103"/>
      <c r="N11" s="103"/>
      <c r="O11" s="103"/>
      <c r="P11" s="103"/>
      <c r="Q11" s="103"/>
      <c r="R11" s="103"/>
      <c r="S11" s="103"/>
      <c r="T11" s="103"/>
      <c r="U11" s="103"/>
      <c r="V11" s="103"/>
      <c r="W11" s="103"/>
      <c r="X11" s="103"/>
      <c r="Y11" s="39"/>
      <c r="Z11" s="39"/>
      <c r="AA11" s="39"/>
      <c r="AB11" s="39"/>
      <c r="AC11" s="39"/>
      <c r="AD11" s="39"/>
      <c r="AE11" s="39"/>
      <c r="AF11" s="39"/>
      <c r="AG11" s="39"/>
      <c r="AH11" s="39"/>
      <c r="AI11" s="39"/>
      <c r="AJ11" s="39"/>
      <c r="AK11" s="102"/>
      <c r="AL11" s="102"/>
      <c r="AM11" s="202"/>
    </row>
    <row r="12" spans="1:39" ht="15.75" customHeight="1" x14ac:dyDescent="0.25">
      <c r="A12" s="206"/>
      <c r="B12" s="207"/>
      <c r="C12" s="209"/>
      <c r="D12" s="212" t="s">
        <v>4</v>
      </c>
      <c r="E12" s="213"/>
      <c r="F12" s="213"/>
      <c r="G12" s="213"/>
      <c r="H12" s="214"/>
      <c r="I12" s="215">
        <v>2026</v>
      </c>
      <c r="J12" s="216"/>
      <c r="K12" s="216"/>
      <c r="L12" s="217"/>
      <c r="M12" s="215">
        <f>I12+1</f>
        <v>2027</v>
      </c>
      <c r="N12" s="216"/>
      <c r="O12" s="216"/>
      <c r="P12" s="217"/>
      <c r="Q12" s="218">
        <f>M12+1</f>
        <v>2028</v>
      </c>
      <c r="R12" s="218"/>
      <c r="S12" s="218"/>
      <c r="T12" s="218"/>
      <c r="U12" s="218">
        <f>Q12+1</f>
        <v>2029</v>
      </c>
      <c r="V12" s="218"/>
      <c r="W12" s="218"/>
      <c r="X12" s="218"/>
      <c r="Y12" s="218">
        <f>U12+1</f>
        <v>2030</v>
      </c>
      <c r="Z12" s="218"/>
      <c r="AA12" s="218"/>
      <c r="AB12" s="218"/>
      <c r="AC12" s="218">
        <f>Y12+1</f>
        <v>2031</v>
      </c>
      <c r="AD12" s="218"/>
      <c r="AE12" s="218"/>
      <c r="AF12" s="218"/>
      <c r="AG12" s="218">
        <f>AC12+1</f>
        <v>2032</v>
      </c>
      <c r="AH12" s="218"/>
      <c r="AI12" s="218"/>
      <c r="AJ12" s="218"/>
      <c r="AK12" s="120">
        <f>SUBTOTAL(9,AK14:AK16)</f>
        <v>19</v>
      </c>
      <c r="AL12" s="121">
        <f>SUBTOTAL(9,AL14:AL16)</f>
        <v>4.5</v>
      </c>
      <c r="AM12" s="203"/>
    </row>
    <row r="13" spans="1:39" ht="33" customHeight="1" x14ac:dyDescent="0.25">
      <c r="A13" s="40" t="s">
        <v>5</v>
      </c>
      <c r="B13" s="40" t="s">
        <v>6</v>
      </c>
      <c r="C13" s="40" t="s">
        <v>7</v>
      </c>
      <c r="D13" s="41" t="s">
        <v>8</v>
      </c>
      <c r="E13" s="41" t="s">
        <v>235</v>
      </c>
      <c r="F13" s="41" t="s">
        <v>9</v>
      </c>
      <c r="G13" s="40" t="s">
        <v>10</v>
      </c>
      <c r="H13" s="41" t="s">
        <v>11</v>
      </c>
      <c r="I13" s="42" t="str">
        <f>"Q1"&amp;RIGHT(I12,2)</f>
        <v>Q126</v>
      </c>
      <c r="J13" s="42" t="str">
        <f>"Q"&amp;MID(I13,2,1)+1&amp;RIGHT(I12,2)</f>
        <v>Q226</v>
      </c>
      <c r="K13" s="42" t="str">
        <f>"Q"&amp;MID(J13,2,1)+1&amp;RIGHT(I12,2)</f>
        <v>Q326</v>
      </c>
      <c r="L13" s="42" t="str">
        <f>"Q"&amp;MID(K13,2,1)+1&amp;RIGHT(I12,2)</f>
        <v>Q426</v>
      </c>
      <c r="M13" s="42" t="str">
        <f>"Q1"&amp;RIGHT(M12,2)</f>
        <v>Q127</v>
      </c>
      <c r="N13" s="42" t="str">
        <f>"Q"&amp;MID(M13,2,1)+1&amp;RIGHT(M12,2)</f>
        <v>Q227</v>
      </c>
      <c r="O13" s="42" t="str">
        <f>"Q"&amp;MID(N13,2,1)+1&amp;RIGHT(M12,2)</f>
        <v>Q327</v>
      </c>
      <c r="P13" s="42" t="str">
        <f>"Q"&amp;MID(O13,2,1)+1&amp;RIGHT(M12,2)</f>
        <v>Q427</v>
      </c>
      <c r="Q13" s="42" t="str">
        <f>"Q1"&amp;RIGHT(Q12,2)</f>
        <v>Q128</v>
      </c>
      <c r="R13" s="42" t="str">
        <f>"Q"&amp;MID(Q13,2,1)+1&amp;RIGHT(Q12,2)</f>
        <v>Q228</v>
      </c>
      <c r="S13" s="42" t="str">
        <f>"Q"&amp;MID(R13,2,1)+1&amp;RIGHT(Q12,2)</f>
        <v>Q328</v>
      </c>
      <c r="T13" s="42" t="str">
        <f>"Q"&amp;MID(S13,2,1)+1&amp;RIGHT(Q12,2)</f>
        <v>Q428</v>
      </c>
      <c r="U13" s="42" t="str">
        <f>"Q1"&amp;RIGHT(U12,2)</f>
        <v>Q129</v>
      </c>
      <c r="V13" s="42" t="str">
        <f>"Q"&amp;MID(U13,2,1)+1&amp;RIGHT(U12,2)</f>
        <v>Q229</v>
      </c>
      <c r="W13" s="42" t="str">
        <f>"Q"&amp;MID(V13,2,1)+1&amp;RIGHT(U12,2)</f>
        <v>Q329</v>
      </c>
      <c r="X13" s="42" t="str">
        <f>"Q"&amp;MID(W13,2,1)+1&amp;RIGHT(U12,2)</f>
        <v>Q429</v>
      </c>
      <c r="Y13" s="42" t="str">
        <f>"Q1"&amp;RIGHT(Y12,2)</f>
        <v>Q130</v>
      </c>
      <c r="Z13" s="42" t="str">
        <f>"Q"&amp;MID(Y13,2,1)+1&amp;RIGHT(Y12,2)</f>
        <v>Q230</v>
      </c>
      <c r="AA13" s="42" t="str">
        <f>"Q"&amp;MID(Z13,2,1)+1&amp;RIGHT(Y12,2)</f>
        <v>Q330</v>
      </c>
      <c r="AB13" s="42" t="str">
        <f>"Q"&amp;MID(AA13,2,1)+1&amp;RIGHT(Y12,2)</f>
        <v>Q430</v>
      </c>
      <c r="AC13" s="42" t="str">
        <f>"Q1"&amp;RIGHT(AC12,2)</f>
        <v>Q131</v>
      </c>
      <c r="AD13" s="42" t="str">
        <f>"Q"&amp;MID(AC13,2,1)+1&amp;RIGHT(AC12,2)</f>
        <v>Q231</v>
      </c>
      <c r="AE13" s="42" t="str">
        <f>"Q"&amp;MID(AD13,2,1)+1&amp;RIGHT(AC12,2)</f>
        <v>Q331</v>
      </c>
      <c r="AF13" s="42" t="str">
        <f>"Q"&amp;MID(AE13,2,1)+1&amp;RIGHT(AC12,2)</f>
        <v>Q431</v>
      </c>
      <c r="AG13" s="42" t="str">
        <f>"Q1"&amp;RIGHT(AG12,2)</f>
        <v>Q132</v>
      </c>
      <c r="AH13" s="42" t="str">
        <f>"Q"&amp;MID(AG13,2,1)+1&amp;RIGHT(AG12,2)</f>
        <v>Q232</v>
      </c>
      <c r="AI13" s="42" t="str">
        <f>"Q"&amp;MID(AH13,2,1)+1&amp;RIGHT(AG12,2)</f>
        <v>Q332</v>
      </c>
      <c r="AJ13" s="42" t="str">
        <f>"Q"&amp;MID(AI13,2,1)+1&amp;RIGHT(AG12,2)</f>
        <v>Q432</v>
      </c>
      <c r="AK13" s="43" t="s">
        <v>12</v>
      </c>
      <c r="AL13" s="43" t="s">
        <v>13</v>
      </c>
      <c r="AM13" s="44" t="s">
        <v>14</v>
      </c>
    </row>
    <row r="14" spans="1:39" ht="29.25" customHeight="1" x14ac:dyDescent="0.25">
      <c r="A14" s="185"/>
      <c r="B14" s="169" t="s">
        <v>25</v>
      </c>
      <c r="C14" s="170" t="s">
        <v>28</v>
      </c>
      <c r="D14" s="171" t="s">
        <v>241</v>
      </c>
      <c r="E14" s="172" t="s">
        <v>242</v>
      </c>
      <c r="F14" s="172" t="s">
        <v>17</v>
      </c>
      <c r="G14" s="173" t="s">
        <v>236</v>
      </c>
      <c r="H14" s="96" t="s">
        <v>18</v>
      </c>
      <c r="I14" s="109"/>
      <c r="J14" s="109"/>
      <c r="K14" s="109"/>
      <c r="L14" s="157"/>
      <c r="M14" s="157"/>
      <c r="N14" s="159"/>
      <c r="O14" s="159"/>
      <c r="P14" s="159">
        <v>1</v>
      </c>
      <c r="Q14" s="161">
        <v>1</v>
      </c>
      <c r="R14" s="161">
        <v>1.5</v>
      </c>
      <c r="S14" s="161">
        <v>0.5</v>
      </c>
      <c r="T14" s="163"/>
      <c r="U14" s="163"/>
      <c r="V14" s="165"/>
      <c r="W14" s="165"/>
      <c r="X14" s="167"/>
      <c r="Y14" s="167"/>
      <c r="Z14" s="109"/>
      <c r="AA14" s="109"/>
      <c r="AB14" s="109"/>
      <c r="AC14" s="109"/>
      <c r="AD14" s="109"/>
      <c r="AE14" s="109"/>
      <c r="AF14" s="109"/>
      <c r="AG14" s="109"/>
      <c r="AH14" s="109"/>
      <c r="AI14" s="109"/>
      <c r="AJ14" s="109"/>
      <c r="AK14" s="110">
        <f t="shared" ref="AK14:AK17" si="0">SUM(I14:AJ14)</f>
        <v>4</v>
      </c>
      <c r="AL14" s="111">
        <f t="shared" ref="AL14:AL17" si="1">MAX(I14:AJ14)</f>
        <v>1.5</v>
      </c>
      <c r="AM14" s="47"/>
    </row>
    <row r="15" spans="1:39" ht="30" customHeight="1" x14ac:dyDescent="0.25">
      <c r="A15" s="185"/>
      <c r="B15" s="169" t="s">
        <v>25</v>
      </c>
      <c r="C15" s="170" t="s">
        <v>28</v>
      </c>
      <c r="D15" s="171" t="s">
        <v>243</v>
      </c>
      <c r="E15" s="172" t="s">
        <v>244</v>
      </c>
      <c r="F15" s="172" t="s">
        <v>17</v>
      </c>
      <c r="G15" s="173" t="s">
        <v>236</v>
      </c>
      <c r="H15" s="96" t="s">
        <v>18</v>
      </c>
      <c r="I15" s="109"/>
      <c r="J15" s="109"/>
      <c r="K15" s="109"/>
      <c r="L15" s="157"/>
      <c r="M15" s="157"/>
      <c r="N15" s="159"/>
      <c r="O15" s="159"/>
      <c r="P15" s="159"/>
      <c r="Q15" s="161">
        <v>0.5</v>
      </c>
      <c r="R15" s="161">
        <v>1</v>
      </c>
      <c r="S15" s="161">
        <v>2</v>
      </c>
      <c r="T15" s="163">
        <v>1.5</v>
      </c>
      <c r="U15" s="163">
        <v>1.5</v>
      </c>
      <c r="V15" s="165">
        <v>0.5</v>
      </c>
      <c r="W15" s="165"/>
      <c r="X15" s="167"/>
      <c r="Y15" s="167"/>
      <c r="Z15" s="109"/>
      <c r="AA15" s="109"/>
      <c r="AB15" s="109"/>
      <c r="AC15" s="109"/>
      <c r="AD15" s="109"/>
      <c r="AE15" s="109"/>
      <c r="AF15" s="109"/>
      <c r="AG15" s="109"/>
      <c r="AH15" s="109"/>
      <c r="AI15" s="109"/>
      <c r="AJ15" s="109"/>
      <c r="AK15" s="110">
        <f t="shared" si="0"/>
        <v>7</v>
      </c>
      <c r="AL15" s="111">
        <f t="shared" si="1"/>
        <v>2</v>
      </c>
      <c r="AM15" s="47"/>
    </row>
    <row r="16" spans="1:39" x14ac:dyDescent="0.25">
      <c r="A16" s="185"/>
      <c r="B16" s="169" t="s">
        <v>25</v>
      </c>
      <c r="C16" s="170" t="s">
        <v>28</v>
      </c>
      <c r="D16" s="171" t="s">
        <v>231</v>
      </c>
      <c r="E16" s="172" t="s">
        <v>248</v>
      </c>
      <c r="F16" s="172" t="s">
        <v>17</v>
      </c>
      <c r="G16" s="173" t="s">
        <v>236</v>
      </c>
      <c r="H16" s="96" t="s">
        <v>18</v>
      </c>
      <c r="I16" s="109"/>
      <c r="J16" s="109"/>
      <c r="K16" s="109"/>
      <c r="L16" s="157"/>
      <c r="M16" s="157"/>
      <c r="N16" s="159"/>
      <c r="O16" s="159"/>
      <c r="P16" s="159"/>
      <c r="Q16" s="161">
        <v>1</v>
      </c>
      <c r="R16" s="161">
        <v>1</v>
      </c>
      <c r="S16" s="161">
        <v>1</v>
      </c>
      <c r="T16" s="163">
        <v>1</v>
      </c>
      <c r="U16" s="163">
        <v>1</v>
      </c>
      <c r="V16" s="165">
        <v>1</v>
      </c>
      <c r="W16" s="165">
        <v>1</v>
      </c>
      <c r="X16" s="167">
        <v>0.5</v>
      </c>
      <c r="Y16" s="167">
        <v>0.5</v>
      </c>
      <c r="Z16" s="109"/>
      <c r="AA16" s="109"/>
      <c r="AB16" s="109"/>
      <c r="AC16" s="109"/>
      <c r="AD16" s="109"/>
      <c r="AE16" s="109"/>
      <c r="AF16" s="109"/>
      <c r="AG16" s="109"/>
      <c r="AH16" s="109"/>
      <c r="AI16" s="109"/>
      <c r="AJ16" s="109"/>
      <c r="AK16" s="110">
        <f t="shared" si="0"/>
        <v>8</v>
      </c>
      <c r="AL16" s="111">
        <f t="shared" si="1"/>
        <v>1</v>
      </c>
      <c r="AM16" s="47"/>
    </row>
    <row r="17" spans="1:39" x14ac:dyDescent="0.25">
      <c r="A17" s="185"/>
      <c r="B17" s="169" t="s">
        <v>25</v>
      </c>
      <c r="C17" s="170" t="s">
        <v>28</v>
      </c>
      <c r="D17" s="171" t="s">
        <v>249</v>
      </c>
      <c r="E17" s="172" t="s">
        <v>250</v>
      </c>
      <c r="F17" s="172" t="s">
        <v>17</v>
      </c>
      <c r="G17" s="173" t="s">
        <v>236</v>
      </c>
      <c r="H17" s="96" t="s">
        <v>18</v>
      </c>
      <c r="I17" s="109"/>
      <c r="J17" s="109"/>
      <c r="K17" s="109"/>
      <c r="L17" s="157"/>
      <c r="M17" s="157"/>
      <c r="N17" s="159"/>
      <c r="O17" s="159"/>
      <c r="P17" s="159"/>
      <c r="Q17" s="161"/>
      <c r="R17" s="161"/>
      <c r="S17" s="161"/>
      <c r="T17" s="163">
        <v>0.5</v>
      </c>
      <c r="U17" s="163">
        <v>0.5</v>
      </c>
      <c r="V17" s="165">
        <v>0.5</v>
      </c>
      <c r="W17" s="165">
        <v>0.5</v>
      </c>
      <c r="X17" s="167">
        <v>0.3</v>
      </c>
      <c r="Y17" s="167">
        <v>0.3</v>
      </c>
      <c r="Z17" s="109"/>
      <c r="AA17" s="109"/>
      <c r="AB17" s="109"/>
      <c r="AC17" s="109"/>
      <c r="AD17" s="109"/>
      <c r="AE17" s="109"/>
      <c r="AF17" s="109"/>
      <c r="AG17" s="109"/>
      <c r="AH17" s="109"/>
      <c r="AI17" s="109"/>
      <c r="AJ17" s="109"/>
      <c r="AK17" s="110">
        <f t="shared" si="0"/>
        <v>2.5999999999999996</v>
      </c>
      <c r="AL17" s="111">
        <f t="shared" si="1"/>
        <v>0.5</v>
      </c>
      <c r="AM17" s="47"/>
    </row>
    <row r="18" spans="1:39" x14ac:dyDescent="0.25">
      <c r="A18" s="54"/>
      <c r="B18" s="54"/>
      <c r="C18" s="54"/>
      <c r="D18" s="54"/>
      <c r="E18" s="191"/>
      <c r="F18" s="54"/>
      <c r="G18" s="54"/>
      <c r="H18" s="54"/>
      <c r="I18" s="112"/>
      <c r="J18" s="112"/>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3"/>
      <c r="AI18" s="113"/>
      <c r="AJ18" s="113"/>
      <c r="AK18" s="114"/>
      <c r="AL18" s="115"/>
      <c r="AM18" s="55"/>
    </row>
    <row r="19" spans="1:39" x14ac:dyDescent="0.25">
      <c r="A19" s="193" t="s">
        <v>30</v>
      </c>
      <c r="B19" s="194"/>
      <c r="C19" s="194"/>
      <c r="D19" s="194"/>
      <c r="E19" s="194"/>
      <c r="F19" s="195"/>
      <c r="G19" s="229" t="s">
        <v>31</v>
      </c>
      <c r="H19" s="56" t="s">
        <v>23</v>
      </c>
      <c r="I19" s="116" t="e" cm="1">
        <f t="array" aca="1" ref="I19" ca="1">SUMPRODUCT(SUBTOTAL(9,OFFSET(#REF!,ROW(I$14:I$18)-ROW(#REF!),)),--($H$14:$H$18=$H19))</f>
        <v>#REF!</v>
      </c>
      <c r="J19" s="116" t="e" cm="1">
        <f t="array" aca="1" ref="J19" ca="1">SUMPRODUCT(SUBTOTAL(9,OFFSET(#REF!,ROW(J$14:J$18)-ROW(#REF!),)),--($H$14:$H$18=$H19))</f>
        <v>#REF!</v>
      </c>
      <c r="K19" s="116" t="e" cm="1">
        <f t="array" aca="1" ref="K19" ca="1">SUMPRODUCT(SUBTOTAL(9,OFFSET(#REF!,ROW(K$14:K$18)-ROW(#REF!),)),--($H$14:$H$18=$H19))</f>
        <v>#REF!</v>
      </c>
      <c r="L19" s="116" t="e" cm="1">
        <f t="array" aca="1" ref="L19" ca="1">SUMPRODUCT(SUBTOTAL(9,OFFSET(#REF!,ROW(L$14:L$18)-ROW(#REF!),)),--($H$14:$H$18=$H19))</f>
        <v>#REF!</v>
      </c>
      <c r="M19" s="116" t="e" cm="1">
        <f t="array" aca="1" ref="M19" ca="1">SUMPRODUCT(SUBTOTAL(9,OFFSET(#REF!,ROW(M$14:M$18)-ROW(#REF!),)),--($H$14:$H$18=$H19))</f>
        <v>#REF!</v>
      </c>
      <c r="N19" s="116" t="e" cm="1">
        <f t="array" aca="1" ref="N19" ca="1">SUMPRODUCT(SUBTOTAL(9,OFFSET(#REF!,ROW(N$14:N$18)-ROW(#REF!),)),--($H$14:$H$18=$H19))</f>
        <v>#REF!</v>
      </c>
      <c r="O19" s="116" t="e" cm="1">
        <f t="array" aca="1" ref="O19" ca="1">SUMPRODUCT(SUBTOTAL(9,OFFSET(#REF!,ROW(O$14:O$18)-ROW(#REF!),)),--($H$14:$H$18=$H19))</f>
        <v>#REF!</v>
      </c>
      <c r="P19" s="116" t="e" cm="1">
        <f t="array" aca="1" ref="P19" ca="1">SUMPRODUCT(SUBTOTAL(9,OFFSET(#REF!,ROW(P$14:P$18)-ROW(#REF!),)),--($H$14:$H$18=$H19))</f>
        <v>#REF!</v>
      </c>
      <c r="Q19" s="116" t="e" cm="1">
        <f t="array" aca="1" ref="Q19" ca="1">SUMPRODUCT(SUBTOTAL(9,OFFSET(#REF!,ROW(Q$14:Q$18)-ROW(#REF!),)),--($H$14:$H$18=$H19))</f>
        <v>#REF!</v>
      </c>
      <c r="R19" s="116" t="e" cm="1">
        <f t="array" aca="1" ref="R19" ca="1">SUMPRODUCT(SUBTOTAL(9,OFFSET(#REF!,ROW(R$14:R$18)-ROW(#REF!),)),--($H$14:$H$18=$H19))</f>
        <v>#REF!</v>
      </c>
      <c r="S19" s="116" t="e" cm="1">
        <f t="array" aca="1" ref="S19" ca="1">SUMPRODUCT(SUBTOTAL(9,OFFSET(#REF!,ROW(S$14:S$18)-ROW(#REF!),)),--($H$14:$H$18=$H19))</f>
        <v>#REF!</v>
      </c>
      <c r="T19" s="116" t="e" cm="1">
        <f t="array" aca="1" ref="T19" ca="1">SUMPRODUCT(SUBTOTAL(9,OFFSET(#REF!,ROW(T$14:T$18)-ROW(#REF!),)),--($H$14:$H$18=$H19))</f>
        <v>#REF!</v>
      </c>
      <c r="U19" s="116" t="e" cm="1">
        <f t="array" aca="1" ref="U19" ca="1">SUMPRODUCT(SUBTOTAL(9,OFFSET(#REF!,ROW(U$14:U$18)-ROW(#REF!),)),--($H$14:$H$18=$H19))</f>
        <v>#REF!</v>
      </c>
      <c r="V19" s="116" t="e" cm="1">
        <f t="array" aca="1" ref="V19" ca="1">SUMPRODUCT(SUBTOTAL(9,OFFSET(#REF!,ROW(V$14:V$18)-ROW(#REF!),)),--($H$14:$H$18=$H19))</f>
        <v>#REF!</v>
      </c>
      <c r="W19" s="116" t="e" cm="1">
        <f t="array" aca="1" ref="W19" ca="1">SUMPRODUCT(SUBTOTAL(9,OFFSET(#REF!,ROW(W$14:W$18)-ROW(#REF!),)),--($H$14:$H$18=$H19))</f>
        <v>#REF!</v>
      </c>
      <c r="X19" s="116" t="e" cm="1">
        <f t="array" aca="1" ref="X19" ca="1">SUMPRODUCT(SUBTOTAL(9,OFFSET(#REF!,ROW(X$14:X$18)-ROW(#REF!),)),--($H$14:$H$18=$H19))</f>
        <v>#REF!</v>
      </c>
      <c r="Y19" s="116" t="e" cm="1">
        <f t="array" aca="1" ref="Y19" ca="1">SUMPRODUCT(SUBTOTAL(9,OFFSET(#REF!,ROW(Y$14:Y$18)-ROW(#REF!),)),--($H$14:$H$18=$H19))</f>
        <v>#REF!</v>
      </c>
      <c r="Z19" s="116" t="e" cm="1">
        <f t="array" aca="1" ref="Z19" ca="1">SUMPRODUCT(SUBTOTAL(9,OFFSET(#REF!,ROW(Z$14:Z$18)-ROW(#REF!),)),--($H$14:$H$18=$H19))</f>
        <v>#REF!</v>
      </c>
      <c r="AA19" s="116" t="e" cm="1">
        <f t="array" aca="1" ref="AA19" ca="1">SUMPRODUCT(SUBTOTAL(9,OFFSET(#REF!,ROW(AA$14:AA$18)-ROW(#REF!),)),--($H$14:$H$18=$H19))</f>
        <v>#REF!</v>
      </c>
      <c r="AB19" s="116" t="e" cm="1">
        <f t="array" aca="1" ref="AB19" ca="1">SUMPRODUCT(SUBTOTAL(9,OFFSET(#REF!,ROW(AB$14:AB$18)-ROW(#REF!),)),--($H$14:$H$18=$H19))</f>
        <v>#REF!</v>
      </c>
      <c r="AC19" s="116" t="e" cm="1">
        <f t="array" aca="1" ref="AC19" ca="1">SUMPRODUCT(SUBTOTAL(9,OFFSET(#REF!,ROW(AC$14:AC$18)-ROW(#REF!),)),--($H$14:$H$18=$H19))</f>
        <v>#REF!</v>
      </c>
      <c r="AD19" s="116" t="e" cm="1">
        <f t="array" aca="1" ref="AD19" ca="1">SUMPRODUCT(SUBTOTAL(9,OFFSET(#REF!,ROW(AD$14:AD$18)-ROW(#REF!),)),--($H$14:$H$18=$H19))</f>
        <v>#REF!</v>
      </c>
      <c r="AE19" s="116" t="e" cm="1">
        <f t="array" aca="1" ref="AE19" ca="1">SUMPRODUCT(SUBTOTAL(9,OFFSET(#REF!,ROW(AE$14:AE$18)-ROW(#REF!),)),--($H$14:$H$18=$H19))</f>
        <v>#REF!</v>
      </c>
      <c r="AF19" s="116" t="e" cm="1">
        <f t="array" aca="1" ref="AF19" ca="1">SUMPRODUCT(SUBTOTAL(9,OFFSET(#REF!,ROW(AF$14:AF$18)-ROW(#REF!),)),--($H$14:$H$18=$H19))</f>
        <v>#REF!</v>
      </c>
      <c r="AG19" s="116" t="e" cm="1">
        <f t="array" aca="1" ref="AG19" ca="1">SUMPRODUCT(SUBTOTAL(9,OFFSET(#REF!,ROW(AG$14:AG$18)-ROW(#REF!),)),--($H$14:$H$18=$H19))</f>
        <v>#REF!</v>
      </c>
      <c r="AH19" s="116" t="e" cm="1">
        <f t="array" aca="1" ref="AH19" ca="1">SUMPRODUCT(SUBTOTAL(9,OFFSET(#REF!,ROW(AH$14:AH$18)-ROW(#REF!),)),--($H$14:$H$18=$H19))</f>
        <v>#REF!</v>
      </c>
      <c r="AI19" s="116" t="e" cm="1">
        <f t="array" aca="1" ref="AI19" ca="1">SUMPRODUCT(SUBTOTAL(9,OFFSET(#REF!,ROW(AI$14:AI$18)-ROW(#REF!),)),--($H$14:$H$18=$H19))</f>
        <v>#REF!</v>
      </c>
      <c r="AJ19" s="116" t="e" cm="1">
        <f t="array" aca="1" ref="AJ19" ca="1">SUMPRODUCT(SUBTOTAL(9,OFFSET(#REF!,ROW(AJ$14:AJ$18)-ROW(#REF!),)),--($H$14:$H$18=$H19))</f>
        <v>#REF!</v>
      </c>
      <c r="AK19" s="117" t="e" cm="1">
        <f t="array" aca="1" ref="AK19" ca="1">SUMPRODUCT(SUBTOTAL(9,OFFSET(#REF!,ROW(AK$14:AK$18)-ROW(#REF!),)),--($H$14:$H$18=$H19))</f>
        <v>#REF!</v>
      </c>
      <c r="AL19" s="117" t="e">
        <f t="shared" ref="AL19:AL21" ca="1" si="2">MAX(I19:AJ19)</f>
        <v>#REF!</v>
      </c>
      <c r="AM19" s="104"/>
    </row>
    <row r="20" spans="1:39" ht="15" customHeight="1" x14ac:dyDescent="0.25">
      <c r="A20" s="196" t="s">
        <v>23</v>
      </c>
      <c r="B20" s="197"/>
      <c r="C20" s="200" t="s">
        <v>32</v>
      </c>
      <c r="D20" s="200"/>
      <c r="E20" s="200"/>
      <c r="F20" s="201"/>
      <c r="G20" s="230"/>
      <c r="H20" s="56" t="s">
        <v>18</v>
      </c>
      <c r="I20" s="116" t="e" cm="1">
        <f t="array" aca="1" ref="I20" ca="1">SUMPRODUCT(SUBTOTAL(9,OFFSET(#REF!,ROW(I$14:I$18)-ROW(#REF!),)),--($H$14:$H$18=$H20))</f>
        <v>#REF!</v>
      </c>
      <c r="J20" s="116" t="e" cm="1">
        <f t="array" aca="1" ref="J20" ca="1">SUMPRODUCT(SUBTOTAL(9,OFFSET(#REF!,ROW(J$14:J$18)-ROW(#REF!),)),--($H$14:$H$18=$H20))</f>
        <v>#REF!</v>
      </c>
      <c r="K20" s="116" t="e" cm="1">
        <f t="array" aca="1" ref="K20" ca="1">SUMPRODUCT(SUBTOTAL(9,OFFSET(#REF!,ROW(K$14:K$18)-ROW(#REF!),)),--($H$14:$H$18=$H20))</f>
        <v>#REF!</v>
      </c>
      <c r="L20" s="116" t="e" cm="1">
        <f t="array" aca="1" ref="L20" ca="1">SUMPRODUCT(SUBTOTAL(9,OFFSET(#REF!,ROW(L$14:L$18)-ROW(#REF!),)),--($H$14:$H$18=$H20))</f>
        <v>#REF!</v>
      </c>
      <c r="M20" s="116" t="e" cm="1">
        <f t="array" aca="1" ref="M20" ca="1">SUMPRODUCT(SUBTOTAL(9,OFFSET(#REF!,ROW(M$14:M$18)-ROW(#REF!),)),--($H$14:$H$18=$H20))</f>
        <v>#REF!</v>
      </c>
      <c r="N20" s="116" t="e" cm="1">
        <f t="array" aca="1" ref="N20" ca="1">SUMPRODUCT(SUBTOTAL(9,OFFSET(#REF!,ROW(N$14:N$18)-ROW(#REF!),)),--($H$14:$H$18=$H20))</f>
        <v>#REF!</v>
      </c>
      <c r="O20" s="116" t="e" cm="1">
        <f t="array" aca="1" ref="O20" ca="1">SUMPRODUCT(SUBTOTAL(9,OFFSET(#REF!,ROW(O$14:O$18)-ROW(#REF!),)),--($H$14:$H$18=$H20))</f>
        <v>#REF!</v>
      </c>
      <c r="P20" s="116" t="e" cm="1">
        <f t="array" aca="1" ref="P20" ca="1">SUMPRODUCT(SUBTOTAL(9,OFFSET(#REF!,ROW(P$14:P$18)-ROW(#REF!),)),--($H$14:$H$18=$H20))</f>
        <v>#REF!</v>
      </c>
      <c r="Q20" s="116" t="e" cm="1">
        <f t="array" aca="1" ref="Q20" ca="1">SUMPRODUCT(SUBTOTAL(9,OFFSET(#REF!,ROW(Q$14:Q$18)-ROW(#REF!),)),--($H$14:$H$18=$H20))</f>
        <v>#REF!</v>
      </c>
      <c r="R20" s="116" t="e" cm="1">
        <f t="array" aca="1" ref="R20" ca="1">SUMPRODUCT(SUBTOTAL(9,OFFSET(#REF!,ROW(R$14:R$18)-ROW(#REF!),)),--($H$14:$H$18=$H20))</f>
        <v>#REF!</v>
      </c>
      <c r="S20" s="116" t="e" cm="1">
        <f t="array" aca="1" ref="S20" ca="1">SUMPRODUCT(SUBTOTAL(9,OFFSET(#REF!,ROW(S$14:S$18)-ROW(#REF!),)),--($H$14:$H$18=$H20))</f>
        <v>#REF!</v>
      </c>
      <c r="T20" s="116" t="e" cm="1">
        <f t="array" aca="1" ref="T20" ca="1">SUMPRODUCT(SUBTOTAL(9,OFFSET(#REF!,ROW(T$14:T$18)-ROW(#REF!),)),--($H$14:$H$18=$H20))</f>
        <v>#REF!</v>
      </c>
      <c r="U20" s="116" t="e" cm="1">
        <f t="array" aca="1" ref="U20" ca="1">SUMPRODUCT(SUBTOTAL(9,OFFSET(#REF!,ROW(U$14:U$18)-ROW(#REF!),)),--($H$14:$H$18=$H20))</f>
        <v>#REF!</v>
      </c>
      <c r="V20" s="116" t="e" cm="1">
        <f t="array" aca="1" ref="V20" ca="1">SUMPRODUCT(SUBTOTAL(9,OFFSET(#REF!,ROW(V$14:V$18)-ROW(#REF!),)),--($H$14:$H$18=$H20))</f>
        <v>#REF!</v>
      </c>
      <c r="W20" s="116" t="e" cm="1">
        <f t="array" aca="1" ref="W20" ca="1">SUMPRODUCT(SUBTOTAL(9,OFFSET(#REF!,ROW(W$14:W$18)-ROW(#REF!),)),--($H$14:$H$18=$H20))</f>
        <v>#REF!</v>
      </c>
      <c r="X20" s="116" t="e" cm="1">
        <f t="array" aca="1" ref="X20" ca="1">SUMPRODUCT(SUBTOTAL(9,OFFSET(#REF!,ROW(X$14:X$18)-ROW(#REF!),)),--($H$14:$H$18=$H20))</f>
        <v>#REF!</v>
      </c>
      <c r="Y20" s="116" t="e" cm="1">
        <f t="array" aca="1" ref="Y20" ca="1">SUMPRODUCT(SUBTOTAL(9,OFFSET(#REF!,ROW(Y$14:Y$18)-ROW(#REF!),)),--($H$14:$H$18=$H20))</f>
        <v>#REF!</v>
      </c>
      <c r="Z20" s="116" t="e" cm="1">
        <f t="array" aca="1" ref="Z20" ca="1">SUMPRODUCT(SUBTOTAL(9,OFFSET(#REF!,ROW(Z$14:Z$18)-ROW(#REF!),)),--($H$14:$H$18=$H20))</f>
        <v>#REF!</v>
      </c>
      <c r="AA20" s="116" t="e" cm="1">
        <f t="array" aca="1" ref="AA20" ca="1">SUMPRODUCT(SUBTOTAL(9,OFFSET(#REF!,ROW(AA$14:AA$18)-ROW(#REF!),)),--($H$14:$H$18=$H20))</f>
        <v>#REF!</v>
      </c>
      <c r="AB20" s="116" t="e" cm="1">
        <f t="array" aca="1" ref="AB20" ca="1">SUMPRODUCT(SUBTOTAL(9,OFFSET(#REF!,ROW(AB$14:AB$18)-ROW(#REF!),)),--($H$14:$H$18=$H20))</f>
        <v>#REF!</v>
      </c>
      <c r="AC20" s="116" t="e" cm="1">
        <f t="array" aca="1" ref="AC20" ca="1">SUMPRODUCT(SUBTOTAL(9,OFFSET(#REF!,ROW(AC$14:AC$18)-ROW(#REF!),)),--($H$14:$H$18=$H20))</f>
        <v>#REF!</v>
      </c>
      <c r="AD20" s="116" t="e" cm="1">
        <f t="array" aca="1" ref="AD20" ca="1">SUMPRODUCT(SUBTOTAL(9,OFFSET(#REF!,ROW(AD$14:AD$18)-ROW(#REF!),)),--($H$14:$H$18=$H20))</f>
        <v>#REF!</v>
      </c>
      <c r="AE20" s="116" t="e" cm="1">
        <f t="array" aca="1" ref="AE20" ca="1">SUMPRODUCT(SUBTOTAL(9,OFFSET(#REF!,ROW(AE$14:AE$18)-ROW(#REF!),)),--($H$14:$H$18=$H20))</f>
        <v>#REF!</v>
      </c>
      <c r="AF20" s="116" t="e" cm="1">
        <f t="array" aca="1" ref="AF20" ca="1">SUMPRODUCT(SUBTOTAL(9,OFFSET(#REF!,ROW(AF$14:AF$18)-ROW(#REF!),)),--($H$14:$H$18=$H20))</f>
        <v>#REF!</v>
      </c>
      <c r="AG20" s="116" t="e" cm="1">
        <f t="array" aca="1" ref="AG20" ca="1">SUMPRODUCT(SUBTOTAL(9,OFFSET(#REF!,ROW(AG$14:AG$18)-ROW(#REF!),)),--($H$14:$H$18=$H20))</f>
        <v>#REF!</v>
      </c>
      <c r="AH20" s="116" t="e" cm="1">
        <f t="array" aca="1" ref="AH20" ca="1">SUMPRODUCT(SUBTOTAL(9,OFFSET(#REF!,ROW(AH$14:AH$18)-ROW(#REF!),)),--($H$14:$H$18=$H20))</f>
        <v>#REF!</v>
      </c>
      <c r="AI20" s="116" t="e" cm="1">
        <f t="array" aca="1" ref="AI20" ca="1">SUMPRODUCT(SUBTOTAL(9,OFFSET(#REF!,ROW(AI$14:AI$18)-ROW(#REF!),)),--($H$14:$H$18=$H20))</f>
        <v>#REF!</v>
      </c>
      <c r="AJ20" s="116" t="e" cm="1">
        <f t="array" aca="1" ref="AJ20" ca="1">SUMPRODUCT(SUBTOTAL(9,OFFSET(#REF!,ROW(AJ$14:AJ$18)-ROW(#REF!),)),--($H$14:$H$18=$H20))</f>
        <v>#REF!</v>
      </c>
      <c r="AK20" s="117" t="e" cm="1">
        <f t="array" aca="1" ref="AK20" ca="1">SUMPRODUCT(SUBTOTAL(9,OFFSET(#REF!,ROW(AK$14:AK$18)-ROW(#REF!),)),--($H$14:$H$18=$H20))</f>
        <v>#REF!</v>
      </c>
      <c r="AL20" s="117" t="e">
        <f t="shared" ca="1" si="2"/>
        <v>#REF!</v>
      </c>
      <c r="AM20" s="105"/>
    </row>
    <row r="21" spans="1:39" ht="15" customHeight="1" x14ac:dyDescent="0.25">
      <c r="A21" s="196"/>
      <c r="B21" s="197"/>
      <c r="C21" s="198" t="s">
        <v>33</v>
      </c>
      <c r="D21" s="198"/>
      <c r="E21" s="198"/>
      <c r="F21" s="199"/>
      <c r="G21" s="231"/>
      <c r="H21" s="56" t="s">
        <v>34</v>
      </c>
      <c r="I21" s="117" t="e">
        <f t="shared" ref="I21:AK21" ca="1" si="3">SUM(I19:I20)</f>
        <v>#REF!</v>
      </c>
      <c r="J21" s="117" t="e">
        <f t="shared" ca="1" si="3"/>
        <v>#REF!</v>
      </c>
      <c r="K21" s="117" t="e">
        <f t="shared" ca="1" si="3"/>
        <v>#REF!</v>
      </c>
      <c r="L21" s="117" t="e">
        <f t="shared" ca="1" si="3"/>
        <v>#REF!</v>
      </c>
      <c r="M21" s="117" t="e">
        <f t="shared" ca="1" si="3"/>
        <v>#REF!</v>
      </c>
      <c r="N21" s="117" t="e">
        <f t="shared" ca="1" si="3"/>
        <v>#REF!</v>
      </c>
      <c r="O21" s="117" t="e">
        <f t="shared" ca="1" si="3"/>
        <v>#REF!</v>
      </c>
      <c r="P21" s="117" t="e">
        <f t="shared" ca="1" si="3"/>
        <v>#REF!</v>
      </c>
      <c r="Q21" s="117" t="e">
        <f t="shared" ca="1" si="3"/>
        <v>#REF!</v>
      </c>
      <c r="R21" s="117" t="e">
        <f t="shared" ca="1" si="3"/>
        <v>#REF!</v>
      </c>
      <c r="S21" s="117" t="e">
        <f t="shared" ca="1" si="3"/>
        <v>#REF!</v>
      </c>
      <c r="T21" s="117" t="e">
        <f t="shared" ca="1" si="3"/>
        <v>#REF!</v>
      </c>
      <c r="U21" s="117" t="e">
        <f t="shared" ca="1" si="3"/>
        <v>#REF!</v>
      </c>
      <c r="V21" s="117" t="e">
        <f t="shared" ca="1" si="3"/>
        <v>#REF!</v>
      </c>
      <c r="W21" s="117" t="e">
        <f t="shared" ca="1" si="3"/>
        <v>#REF!</v>
      </c>
      <c r="X21" s="117" t="e">
        <f t="shared" ca="1" si="3"/>
        <v>#REF!</v>
      </c>
      <c r="Y21" s="117" t="e">
        <f t="shared" ca="1" si="3"/>
        <v>#REF!</v>
      </c>
      <c r="Z21" s="117" t="e">
        <f t="shared" ca="1" si="3"/>
        <v>#REF!</v>
      </c>
      <c r="AA21" s="117" t="e">
        <f t="shared" ca="1" si="3"/>
        <v>#REF!</v>
      </c>
      <c r="AB21" s="117" t="e">
        <f t="shared" ca="1" si="3"/>
        <v>#REF!</v>
      </c>
      <c r="AC21" s="117" t="e">
        <f t="shared" ca="1" si="3"/>
        <v>#REF!</v>
      </c>
      <c r="AD21" s="117" t="e">
        <f t="shared" ca="1" si="3"/>
        <v>#REF!</v>
      </c>
      <c r="AE21" s="117" t="e">
        <f t="shared" ca="1" si="3"/>
        <v>#REF!</v>
      </c>
      <c r="AF21" s="117" t="e">
        <f t="shared" ca="1" si="3"/>
        <v>#REF!</v>
      </c>
      <c r="AG21" s="117" t="e">
        <f t="shared" ca="1" si="3"/>
        <v>#REF!</v>
      </c>
      <c r="AH21" s="117" t="e">
        <f t="shared" ca="1" si="3"/>
        <v>#REF!</v>
      </c>
      <c r="AI21" s="117" t="e">
        <f t="shared" ca="1" si="3"/>
        <v>#REF!</v>
      </c>
      <c r="AJ21" s="117" t="e">
        <f t="shared" ca="1" si="3"/>
        <v>#REF!</v>
      </c>
      <c r="AK21" s="117" t="e">
        <f t="shared" ca="1" si="3"/>
        <v>#REF!</v>
      </c>
      <c r="AL21" s="117" t="e">
        <f t="shared" ca="1" si="2"/>
        <v>#REF!</v>
      </c>
      <c r="AM21" s="105"/>
    </row>
    <row r="22" spans="1:39" x14ac:dyDescent="0.25">
      <c r="A22" s="137"/>
      <c r="B22" s="138"/>
      <c r="C22" s="198"/>
      <c r="D22" s="198"/>
      <c r="E22" s="198"/>
      <c r="F22" s="199"/>
      <c r="G22" s="224"/>
      <c r="H22" s="59"/>
      <c r="I22" s="118"/>
      <c r="J22" s="118"/>
      <c r="K22" s="118"/>
      <c r="L22" s="118"/>
      <c r="M22" s="118"/>
      <c r="N22" s="118"/>
      <c r="O22" s="118"/>
      <c r="P22" s="118"/>
      <c r="Q22" s="118"/>
      <c r="R22" s="118"/>
      <c r="S22" s="118"/>
      <c r="T22" s="118"/>
      <c r="U22" s="118"/>
      <c r="V22" s="118"/>
      <c r="W22" s="118"/>
      <c r="X22" s="118"/>
      <c r="Y22" s="118"/>
      <c r="Z22" s="118"/>
      <c r="AA22" s="118"/>
      <c r="AB22" s="118"/>
      <c r="AC22" s="118" t="e" cm="1">
        <f t="array" aca="1" ref="AC22" ca="1">SUMPRODUCT(SUBTOTAL(9,OFFSET(#REF!,ROW(AC$14:AC$18)-ROW(#REF!),)),--($H$14:$H$18=$H19),#REF!)</f>
        <v>#REF!</v>
      </c>
      <c r="AD22" s="118" t="e" cm="1">
        <f t="array" aca="1" ref="AD22" ca="1">SUMPRODUCT(SUBTOTAL(9,OFFSET(#REF!,ROW(AD$14:AD$18)-ROW(#REF!),)),--($H$14:$H$18=$H19),#REF!)</f>
        <v>#REF!</v>
      </c>
      <c r="AE22" s="118" t="e" cm="1">
        <f t="array" aca="1" ref="AE22" ca="1">SUMPRODUCT(SUBTOTAL(9,OFFSET(#REF!,ROW(AE$14:AE$18)-ROW(#REF!),)),--($H$14:$H$18=$H19),#REF!)</f>
        <v>#REF!</v>
      </c>
      <c r="AF22" s="118" t="e" cm="1">
        <f t="array" aca="1" ref="AF22" ca="1">SUMPRODUCT(SUBTOTAL(9,OFFSET(#REF!,ROW(AF$14:AF$18)-ROW(#REF!),)),--($H$14:$H$18=$H19),#REF!)</f>
        <v>#REF!</v>
      </c>
      <c r="AG22" s="118" t="e" cm="1">
        <f t="array" aca="1" ref="AG22" ca="1">SUMPRODUCT(SUBTOTAL(9,OFFSET(#REF!,ROW(AG$14:AG$18)-ROW(#REF!),)),--($H$14:$H$18=$H19),#REF!)</f>
        <v>#REF!</v>
      </c>
      <c r="AH22" s="118" t="e" cm="1">
        <f t="array" aca="1" ref="AH22" ca="1">SUMPRODUCT(SUBTOTAL(9,OFFSET(#REF!,ROW(AH$14:AH$18)-ROW(#REF!),)),--($H$14:$H$18=$H19),#REF!)</f>
        <v>#REF!</v>
      </c>
      <c r="AI22" s="118" t="e" cm="1">
        <f t="array" aca="1" ref="AI22" ca="1">SUMPRODUCT(SUBTOTAL(9,OFFSET(#REF!,ROW(AI$14:AI$18)-ROW(#REF!),)),--($H$14:$H$18=$H19),#REF!)</f>
        <v>#REF!</v>
      </c>
      <c r="AJ22" s="118" t="e" cm="1">
        <f t="array" aca="1" ref="AJ22" ca="1">SUMPRODUCT(SUBTOTAL(9,OFFSET(#REF!,ROW(AJ$14:AJ$18)-ROW(#REF!),)),--($H$14:$H$18=$H19),#REF!)</f>
        <v>#REF!</v>
      </c>
      <c r="AK22" s="125"/>
      <c r="AL22" s="125"/>
      <c r="AM22" s="105"/>
    </row>
    <row r="23" spans="1:39" x14ac:dyDescent="0.25">
      <c r="A23" s="196" t="s">
        <v>18</v>
      </c>
      <c r="B23" s="197"/>
      <c r="C23" s="200" t="s">
        <v>35</v>
      </c>
      <c r="D23" s="200"/>
      <c r="E23" s="200"/>
      <c r="F23" s="201"/>
      <c r="G23" s="225"/>
      <c r="H23" s="59"/>
      <c r="I23" s="118"/>
      <c r="J23" s="118"/>
      <c r="K23" s="118"/>
      <c r="L23" s="118"/>
      <c r="M23" s="118"/>
      <c r="N23" s="118"/>
      <c r="O23" s="118"/>
      <c r="P23" s="118"/>
      <c r="Q23" s="118"/>
      <c r="R23" s="118"/>
      <c r="S23" s="118"/>
      <c r="T23" s="118"/>
      <c r="U23" s="118"/>
      <c r="V23" s="118"/>
      <c r="W23" s="118"/>
      <c r="X23" s="118"/>
      <c r="Y23" s="118"/>
      <c r="Z23" s="118"/>
      <c r="AA23" s="118"/>
      <c r="AB23" s="118"/>
      <c r="AC23" s="118" t="e" cm="1">
        <f t="array" aca="1" ref="AC23" ca="1">SUMPRODUCT(SUBTOTAL(9,OFFSET(#REF!,ROW(AC$14:AC$18)-ROW(#REF!),)),--($H$14:$H$18=$H20),#REF!)</f>
        <v>#REF!</v>
      </c>
      <c r="AD23" s="118" t="e" cm="1">
        <f t="array" aca="1" ref="AD23" ca="1">SUMPRODUCT(SUBTOTAL(9,OFFSET(#REF!,ROW(AD$14:AD$18)-ROW(#REF!),)),--($H$14:$H$18=$H20),#REF!)</f>
        <v>#REF!</v>
      </c>
      <c r="AE23" s="118" t="e" cm="1">
        <f t="array" aca="1" ref="AE23" ca="1">SUMPRODUCT(SUBTOTAL(9,OFFSET(#REF!,ROW(AE$14:AE$18)-ROW(#REF!),)),--($H$14:$H$18=$H20),#REF!)</f>
        <v>#REF!</v>
      </c>
      <c r="AF23" s="118" t="e" cm="1">
        <f t="array" aca="1" ref="AF23" ca="1">SUMPRODUCT(SUBTOTAL(9,OFFSET(#REF!,ROW(AF$14:AF$18)-ROW(#REF!),)),--($H$14:$H$18=$H20),#REF!)</f>
        <v>#REF!</v>
      </c>
      <c r="AG23" s="118" t="e" cm="1">
        <f t="array" aca="1" ref="AG23" ca="1">SUMPRODUCT(SUBTOTAL(9,OFFSET(#REF!,ROW(AG$14:AG$18)-ROW(#REF!),)),--($H$14:$H$18=$H20),#REF!)</f>
        <v>#REF!</v>
      </c>
      <c r="AH23" s="118" t="e" cm="1">
        <f t="array" aca="1" ref="AH23" ca="1">SUMPRODUCT(SUBTOTAL(9,OFFSET(#REF!,ROW(AH$14:AH$18)-ROW(#REF!),)),--($H$14:$H$18=$H20),#REF!)</f>
        <v>#REF!</v>
      </c>
      <c r="AI23" s="118" t="e" cm="1">
        <f t="array" aca="1" ref="AI23" ca="1">SUMPRODUCT(SUBTOTAL(9,OFFSET(#REF!,ROW(AI$14:AI$18)-ROW(#REF!),)),--($H$14:$H$18=$H20),#REF!)</f>
        <v>#REF!</v>
      </c>
      <c r="AJ23" s="118" t="e" cm="1">
        <f t="array" aca="1" ref="AJ23" ca="1">SUMPRODUCT(SUBTOTAL(9,OFFSET(#REF!,ROW(AJ$14:AJ$18)-ROW(#REF!),)),--($H$14:$H$18=$H20),#REF!)</f>
        <v>#REF!</v>
      </c>
      <c r="AK23" s="125"/>
      <c r="AL23" s="125"/>
      <c r="AM23" s="105"/>
    </row>
    <row r="24" spans="1:39" x14ac:dyDescent="0.25">
      <c r="A24" s="136"/>
      <c r="B24" s="135"/>
      <c r="C24" s="198" t="s">
        <v>36</v>
      </c>
      <c r="D24" s="198"/>
      <c r="E24" s="198"/>
      <c r="F24" s="199"/>
      <c r="G24" s="226"/>
      <c r="H24" s="59"/>
      <c r="I24" s="118"/>
      <c r="J24" s="118"/>
      <c r="K24" s="118"/>
      <c r="L24" s="118"/>
      <c r="M24" s="118"/>
      <c r="N24" s="118"/>
      <c r="O24" s="118"/>
      <c r="P24" s="118"/>
      <c r="Q24" s="118"/>
      <c r="R24" s="118"/>
      <c r="S24" s="118"/>
      <c r="T24" s="118"/>
      <c r="U24" s="118"/>
      <c r="V24" s="118"/>
      <c r="W24" s="118"/>
      <c r="X24" s="118"/>
      <c r="Y24" s="118"/>
      <c r="Z24" s="118"/>
      <c r="AA24" s="118"/>
      <c r="AB24" s="118"/>
      <c r="AC24" s="118" t="e">
        <f t="shared" ref="AC24:AJ24" ca="1" si="4">SUM(AC22:AC23)</f>
        <v>#REF!</v>
      </c>
      <c r="AD24" s="118" t="e">
        <f t="shared" ca="1" si="4"/>
        <v>#REF!</v>
      </c>
      <c r="AE24" s="118" t="e">
        <f t="shared" ca="1" si="4"/>
        <v>#REF!</v>
      </c>
      <c r="AF24" s="118" t="e">
        <f t="shared" ca="1" si="4"/>
        <v>#REF!</v>
      </c>
      <c r="AG24" s="118" t="e">
        <f t="shared" ca="1" si="4"/>
        <v>#REF!</v>
      </c>
      <c r="AH24" s="118" t="e">
        <f t="shared" ca="1" si="4"/>
        <v>#REF!</v>
      </c>
      <c r="AI24" s="118" t="e">
        <f t="shared" ca="1" si="4"/>
        <v>#REF!</v>
      </c>
      <c r="AJ24" s="118" t="e">
        <f t="shared" ca="1" si="4"/>
        <v>#REF!</v>
      </c>
      <c r="AK24" s="125"/>
      <c r="AL24" s="125"/>
      <c r="AM24" s="105"/>
    </row>
    <row r="25" spans="1:39" ht="15" hidden="1" customHeight="1" outlineLevel="1" x14ac:dyDescent="0.25">
      <c r="A25" s="105"/>
      <c r="B25" s="107"/>
      <c r="C25" s="107"/>
      <c r="D25" s="107"/>
      <c r="E25" s="107"/>
      <c r="F25" s="106"/>
      <c r="G25" s="227"/>
      <c r="H25" s="81"/>
      <c r="I25" s="122"/>
      <c r="J25" s="122"/>
      <c r="K25" s="122"/>
      <c r="L25" s="122"/>
      <c r="M25" s="122"/>
      <c r="N25" s="122"/>
      <c r="O25" s="122"/>
      <c r="P25" s="122"/>
      <c r="Q25" s="122"/>
      <c r="R25" s="122"/>
      <c r="S25" s="122"/>
      <c r="T25" s="122"/>
      <c r="U25" s="122"/>
      <c r="V25" s="122"/>
      <c r="W25" s="122"/>
      <c r="X25" s="122"/>
      <c r="Y25" s="122"/>
      <c r="Z25" s="122"/>
      <c r="AA25" s="122"/>
      <c r="AB25" s="122"/>
      <c r="AC25" s="122" t="e">
        <f t="shared" ref="AC25:AJ25" ca="1" si="5">AC20-AB20</f>
        <v>#REF!</v>
      </c>
      <c r="AD25" s="122" t="e">
        <f t="shared" ca="1" si="5"/>
        <v>#REF!</v>
      </c>
      <c r="AE25" s="122" t="e">
        <f t="shared" ca="1" si="5"/>
        <v>#REF!</v>
      </c>
      <c r="AF25" s="122" t="e">
        <f t="shared" ca="1" si="5"/>
        <v>#REF!</v>
      </c>
      <c r="AG25" s="122" t="e">
        <f t="shared" ca="1" si="5"/>
        <v>#REF!</v>
      </c>
      <c r="AH25" s="122" t="e">
        <f t="shared" ca="1" si="5"/>
        <v>#REF!</v>
      </c>
      <c r="AI25" s="122" t="e">
        <f t="shared" ca="1" si="5"/>
        <v>#REF!</v>
      </c>
      <c r="AJ25" s="122" t="e">
        <f t="shared" ca="1" si="5"/>
        <v>#REF!</v>
      </c>
      <c r="AK25" s="126"/>
      <c r="AL25" s="126"/>
      <c r="AM25" s="105"/>
    </row>
    <row r="26" spans="1:39" ht="15" hidden="1" customHeight="1" outlineLevel="1" collapsed="1" x14ac:dyDescent="0.25">
      <c r="A26" s="105"/>
      <c r="B26" s="107"/>
      <c r="C26" s="107"/>
      <c r="D26" s="107"/>
      <c r="E26" s="107"/>
      <c r="F26" s="106"/>
      <c r="G26" s="228"/>
      <c r="H26" s="81"/>
      <c r="I26" s="123"/>
      <c r="J26" s="123"/>
      <c r="K26" s="123"/>
      <c r="L26" s="123"/>
      <c r="M26" s="123"/>
      <c r="N26" s="123"/>
      <c r="O26" s="123"/>
      <c r="P26" s="123"/>
      <c r="Q26" s="123"/>
      <c r="R26" s="123"/>
      <c r="S26" s="123"/>
      <c r="T26" s="123"/>
      <c r="U26" s="123"/>
      <c r="V26" s="123"/>
      <c r="W26" s="123"/>
      <c r="X26" s="123"/>
      <c r="Y26" s="123"/>
      <c r="Z26" s="123"/>
      <c r="AA26" s="123"/>
      <c r="AB26" s="123"/>
      <c r="AC26" s="123" t="s">
        <v>38</v>
      </c>
      <c r="AD26" s="123" t="s">
        <v>38</v>
      </c>
      <c r="AE26" s="123" t="s">
        <v>38</v>
      </c>
      <c r="AF26" s="123" t="s">
        <v>38</v>
      </c>
      <c r="AG26" s="123" t="s">
        <v>38</v>
      </c>
      <c r="AH26" s="123" t="s">
        <v>38</v>
      </c>
      <c r="AI26" s="123" t="s">
        <v>38</v>
      </c>
      <c r="AJ26" s="123" t="s">
        <v>38</v>
      </c>
      <c r="AK26" s="126"/>
      <c r="AL26" s="126"/>
      <c r="AM26" s="105"/>
    </row>
    <row r="27" spans="1:39" ht="15" hidden="1" customHeight="1" outlineLevel="1" x14ac:dyDescent="0.25">
      <c r="A27" s="105"/>
      <c r="B27" s="107"/>
      <c r="C27" s="107"/>
      <c r="D27" s="107"/>
      <c r="E27" s="107"/>
      <c r="F27" s="106"/>
      <c r="G27" s="228"/>
      <c r="H27" s="81"/>
      <c r="I27" s="124"/>
      <c r="J27" s="124"/>
      <c r="K27" s="124"/>
      <c r="L27" s="124"/>
      <c r="M27" s="124"/>
      <c r="N27" s="124"/>
      <c r="O27" s="124"/>
      <c r="P27" s="124"/>
      <c r="Q27" s="124"/>
      <c r="R27" s="124"/>
      <c r="S27" s="124"/>
      <c r="T27" s="124"/>
      <c r="U27" s="124"/>
      <c r="V27" s="124"/>
      <c r="W27" s="124"/>
      <c r="X27" s="124"/>
      <c r="Y27" s="124"/>
      <c r="Z27" s="124"/>
      <c r="AA27" s="124"/>
      <c r="AB27" s="124"/>
      <c r="AC27" s="124" t="e">
        <f ca="1">_xlfn.XLOOKUP(AC$26,Scenarios,'Ramp Scenarios'!$C$3:$C$11)*SUM(AC20:AC20)-SUM(AC20:AC20)</f>
        <v>#REF!</v>
      </c>
      <c r="AD27" s="124" t="e">
        <f ca="1">_xlfn.XLOOKUP(AD$26,Scenarios,'Ramp Scenarios'!$C$3:$C$11)*SUM(AD20:AD20)-SUM(AD20:AD20)</f>
        <v>#REF!</v>
      </c>
      <c r="AE27" s="124" t="e">
        <f ca="1">_xlfn.XLOOKUP(AE$26,Scenarios,'Ramp Scenarios'!$C$3:$C$11)*SUM(AE20:AE20)-SUM(AE20:AE20)</f>
        <v>#REF!</v>
      </c>
      <c r="AF27" s="124" t="e">
        <f ca="1">_xlfn.XLOOKUP(AF$26,Scenarios,'Ramp Scenarios'!$C$3:$C$11)*SUM(AF20:AF20)-SUM(AF20:AF20)</f>
        <v>#REF!</v>
      </c>
      <c r="AG27" s="124" t="e">
        <f ca="1">_xlfn.XLOOKUP(AG$26,Scenarios,'Ramp Scenarios'!$C$3:$C$11)*SUM(AG20:AG20)-SUM(AG20:AG20)</f>
        <v>#REF!</v>
      </c>
      <c r="AH27" s="124" t="e">
        <f ca="1">_xlfn.XLOOKUP(AH$26,Scenarios,'Ramp Scenarios'!$C$3:$C$11)*SUM(AH20:AH20)-SUM(AH20:AH20)</f>
        <v>#REF!</v>
      </c>
      <c r="AI27" s="124" t="e">
        <f ca="1">_xlfn.XLOOKUP(AI$26,Scenarios,'Ramp Scenarios'!$C$3:$C$11)*SUM(AI20:AI20)-SUM(AI20:AI20)</f>
        <v>#REF!</v>
      </c>
      <c r="AJ27" s="124" t="e">
        <f ca="1">_xlfn.XLOOKUP(AJ$26,Scenarios,'Ramp Scenarios'!$C$3:$C$11)*SUM(AJ20:AJ20)-SUM(AJ20:AJ20)</f>
        <v>#REF!</v>
      </c>
      <c r="AK27" s="126"/>
      <c r="AL27" s="126"/>
      <c r="AM27" s="105"/>
    </row>
    <row r="28" spans="1:39" ht="15" hidden="1" customHeight="1" outlineLevel="1" x14ac:dyDescent="0.25">
      <c r="A28" s="105"/>
      <c r="B28" s="107"/>
      <c r="C28" s="107"/>
      <c r="D28" s="107"/>
      <c r="E28" s="107"/>
      <c r="F28" s="106"/>
      <c r="G28" s="228"/>
      <c r="H28" s="81"/>
      <c r="I28" s="119"/>
      <c r="J28" s="119"/>
      <c r="K28" s="119"/>
      <c r="L28" s="119"/>
      <c r="M28" s="119"/>
      <c r="N28" s="119"/>
      <c r="O28" s="119"/>
      <c r="P28" s="119"/>
      <c r="Q28" s="119"/>
      <c r="R28" s="119"/>
      <c r="S28" s="119"/>
      <c r="T28" s="119"/>
      <c r="U28" s="119"/>
      <c r="V28" s="119"/>
      <c r="W28" s="119"/>
      <c r="X28" s="119"/>
      <c r="Y28" s="119"/>
      <c r="Z28" s="119"/>
      <c r="AA28" s="119"/>
      <c r="AB28" s="119"/>
      <c r="AC28" s="119" t="e">
        <f ca="1">(AC23)*_xlfn.XLOOKUP(AC26,Scenarios,'Ramp Scenarios'!$C$3:$C$11)</f>
        <v>#REF!</v>
      </c>
      <c r="AD28" s="119" t="e">
        <f ca="1">(AD23)*_xlfn.XLOOKUP(AD26,Scenarios,'Ramp Scenarios'!$C$3:$C$11)</f>
        <v>#REF!</v>
      </c>
      <c r="AE28" s="119" t="e">
        <f ca="1">(AE23)*_xlfn.XLOOKUP(AE26,Scenarios,'Ramp Scenarios'!$C$3:$C$11)</f>
        <v>#REF!</v>
      </c>
      <c r="AF28" s="119" t="e">
        <f ca="1">(AF23)*_xlfn.XLOOKUP(AF26,Scenarios,'Ramp Scenarios'!$C$3:$C$11)</f>
        <v>#REF!</v>
      </c>
      <c r="AG28" s="119" t="e">
        <f ca="1">(AG23)*_xlfn.XLOOKUP(AG26,Scenarios,'Ramp Scenarios'!$C$3:$C$11)</f>
        <v>#REF!</v>
      </c>
      <c r="AH28" s="119" t="e">
        <f ca="1">(AH23)*_xlfn.XLOOKUP(AH26,Scenarios,'Ramp Scenarios'!$C$3:$C$11)</f>
        <v>#REF!</v>
      </c>
      <c r="AI28" s="119" t="e">
        <f ca="1">(AI23)*_xlfn.XLOOKUP(AI26,Scenarios,'Ramp Scenarios'!$C$3:$C$11)</f>
        <v>#REF!</v>
      </c>
      <c r="AJ28" s="119" t="e">
        <f ca="1">(AJ23)*_xlfn.XLOOKUP(AJ26,Scenarios,'Ramp Scenarios'!$C$3:$C$11)</f>
        <v>#REF!</v>
      </c>
      <c r="AK28" s="63"/>
      <c r="AL28" s="63"/>
      <c r="AM28" s="105"/>
    </row>
    <row r="29" spans="1:39" collapsed="1" x14ac:dyDescent="0.25">
      <c r="A29" s="105"/>
      <c r="B29" s="107"/>
      <c r="C29" s="107"/>
      <c r="D29" s="107"/>
      <c r="E29" s="107"/>
      <c r="F29" s="106"/>
      <c r="G29" s="228"/>
      <c r="H29" s="81"/>
      <c r="I29" s="119"/>
      <c r="J29" s="119"/>
      <c r="K29" s="119"/>
      <c r="L29" s="119"/>
      <c r="M29" s="119"/>
      <c r="N29" s="119"/>
      <c r="O29" s="119"/>
      <c r="P29" s="119"/>
      <c r="Q29" s="119"/>
      <c r="R29" s="119"/>
      <c r="S29" s="119"/>
      <c r="T29" s="119"/>
      <c r="U29" s="119"/>
      <c r="V29" s="119"/>
      <c r="W29" s="119"/>
      <c r="X29" s="119"/>
      <c r="Y29" s="119"/>
      <c r="Z29" s="119"/>
      <c r="AA29" s="119"/>
      <c r="AB29" s="119"/>
      <c r="AC29" s="119" t="e">
        <f t="shared" ref="AC29:AJ29" ca="1" si="6">AC28+AC22</f>
        <v>#REF!</v>
      </c>
      <c r="AD29" s="119" t="e">
        <f t="shared" ca="1" si="6"/>
        <v>#REF!</v>
      </c>
      <c r="AE29" s="119" t="e">
        <f t="shared" ca="1" si="6"/>
        <v>#REF!</v>
      </c>
      <c r="AF29" s="119" t="e">
        <f t="shared" ca="1" si="6"/>
        <v>#REF!</v>
      </c>
      <c r="AG29" s="119" t="e">
        <f t="shared" ca="1" si="6"/>
        <v>#REF!</v>
      </c>
      <c r="AH29" s="119" t="e">
        <f t="shared" ca="1" si="6"/>
        <v>#REF!</v>
      </c>
      <c r="AI29" s="119" t="e">
        <f t="shared" ca="1" si="6"/>
        <v>#REF!</v>
      </c>
      <c r="AJ29" s="119" t="e">
        <f t="shared" ca="1" si="6"/>
        <v>#REF!</v>
      </c>
      <c r="AK29" s="63"/>
      <c r="AL29" s="63"/>
      <c r="AM29" s="105"/>
    </row>
    <row r="30" spans="1:39" x14ac:dyDescent="0.25">
      <c r="C30" s="60"/>
      <c r="D30" s="60"/>
      <c r="E30" s="60"/>
      <c r="F30" s="60"/>
      <c r="G30" s="60"/>
      <c r="H30" s="66"/>
    </row>
    <row r="31" spans="1:39" x14ac:dyDescent="0.25">
      <c r="C31" s="60"/>
      <c r="G31" s="60"/>
      <c r="H31" s="67"/>
      <c r="AK31" s="61"/>
      <c r="AL31" s="61"/>
    </row>
    <row r="32" spans="1:39" x14ac:dyDescent="0.25">
      <c r="C32" s="60"/>
      <c r="G32" s="60"/>
      <c r="H32" s="67"/>
      <c r="L32" s="84"/>
    </row>
    <row r="33" spans="3:38" x14ac:dyDescent="0.25">
      <c r="C33" s="60"/>
      <c r="G33" s="60"/>
      <c r="H33" s="67"/>
      <c r="I33" s="4"/>
      <c r="J33" s="4"/>
      <c r="K33" s="4"/>
      <c r="L33" s="85"/>
    </row>
    <row r="34" spans="3:38" x14ac:dyDescent="0.25">
      <c r="C34" s="60"/>
      <c r="G34" s="60"/>
      <c r="H34" s="67"/>
      <c r="I34" s="4"/>
      <c r="J34" s="4"/>
      <c r="K34" s="4"/>
      <c r="L34" s="86"/>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row>
    <row r="35" spans="3:38" x14ac:dyDescent="0.25">
      <c r="C35" s="60"/>
      <c r="G35" s="60"/>
      <c r="H35" s="67"/>
      <c r="I35" s="4"/>
      <c r="J35" s="4"/>
      <c r="K35" s="4"/>
      <c r="L35" s="87"/>
    </row>
    <row r="36" spans="3:38" x14ac:dyDescent="0.25">
      <c r="C36" s="60"/>
      <c r="G36" s="7"/>
      <c r="H36" s="67"/>
      <c r="I36" s="4"/>
      <c r="J36" s="4"/>
      <c r="K36" s="4"/>
      <c r="L36" s="88"/>
    </row>
    <row r="37" spans="3:38" x14ac:dyDescent="0.25">
      <c r="C37" s="60"/>
      <c r="G37" s="7"/>
      <c r="H37" s="67"/>
      <c r="I37" s="4"/>
      <c r="J37" s="4"/>
      <c r="K37" s="4"/>
      <c r="L37" s="4"/>
    </row>
    <row r="38" spans="3:38" x14ac:dyDescent="0.25">
      <c r="C38" s="60"/>
      <c r="G38" s="60"/>
      <c r="H38" s="67"/>
      <c r="I38" s="4"/>
      <c r="J38" s="4"/>
      <c r="K38" s="4"/>
      <c r="L38" s="4"/>
    </row>
    <row r="39" spans="3:38" x14ac:dyDescent="0.25">
      <c r="C39" s="60"/>
      <c r="G39" s="62"/>
      <c r="I39" s="4"/>
      <c r="J39" s="4"/>
      <c r="K39" s="4"/>
      <c r="L39" s="4"/>
    </row>
    <row r="40" spans="3:38" x14ac:dyDescent="0.25">
      <c r="C40" s="60"/>
      <c r="G40" s="62"/>
      <c r="I40" s="4"/>
      <c r="J40" s="4"/>
      <c r="K40" s="4"/>
      <c r="L40" s="4"/>
    </row>
    <row r="41" spans="3:38" x14ac:dyDescent="0.25">
      <c r="C41" s="60"/>
      <c r="G41" s="62"/>
      <c r="I41" s="4"/>
      <c r="J41" s="4"/>
      <c r="K41" s="4"/>
      <c r="L41" s="4"/>
    </row>
    <row r="42" spans="3:38" x14ac:dyDescent="0.25">
      <c r="D42" s="62"/>
      <c r="E42" s="62"/>
      <c r="F42" s="62"/>
      <c r="G42" s="62"/>
      <c r="I42" s="4"/>
      <c r="J42" s="4"/>
      <c r="K42" s="4"/>
      <c r="L42" s="4"/>
    </row>
    <row r="43" spans="3:38" x14ac:dyDescent="0.25">
      <c r="D43" s="62"/>
      <c r="E43" s="62"/>
      <c r="F43" s="62"/>
      <c r="G43" s="62"/>
      <c r="I43" s="4"/>
      <c r="J43" s="4"/>
      <c r="K43" s="4"/>
      <c r="L43" s="4"/>
    </row>
    <row r="44" spans="3:38" x14ac:dyDescent="0.25">
      <c r="D44" s="62"/>
      <c r="E44" s="62"/>
      <c r="F44" s="62"/>
      <c r="G44" s="62"/>
      <c r="I44" s="4"/>
      <c r="J44" s="4"/>
      <c r="K44" s="4"/>
      <c r="L44" s="4"/>
    </row>
    <row r="45" spans="3:38" x14ac:dyDescent="0.25">
      <c r="D45" s="62"/>
      <c r="E45" s="62"/>
      <c r="F45" s="62"/>
      <c r="G45" s="62"/>
      <c r="I45" s="4"/>
      <c r="J45" s="4"/>
      <c r="K45" s="4"/>
      <c r="L45" s="4"/>
    </row>
    <row r="46" spans="3:38" x14ac:dyDescent="0.25">
      <c r="D46" s="62"/>
      <c r="E46" s="62"/>
      <c r="F46" s="62"/>
      <c r="G46" s="62"/>
      <c r="I46" s="4"/>
      <c r="J46" s="4"/>
      <c r="K46" s="4"/>
      <c r="L46" s="4"/>
    </row>
    <row r="47" spans="3:38" x14ac:dyDescent="0.25">
      <c r="D47" s="62"/>
      <c r="E47" s="62"/>
      <c r="F47" s="62"/>
      <c r="G47" s="62"/>
      <c r="I47" s="4"/>
      <c r="J47" s="4"/>
      <c r="K47" s="4"/>
      <c r="L47" s="4"/>
    </row>
    <row r="48" spans="3:38" x14ac:dyDescent="0.25">
      <c r="D48" s="62"/>
      <c r="E48" s="62"/>
      <c r="F48" s="62"/>
      <c r="G48" s="62"/>
      <c r="I48" s="4"/>
      <c r="J48" s="4"/>
      <c r="K48" s="4"/>
      <c r="L48" s="4"/>
    </row>
    <row r="49" spans="4:12" x14ac:dyDescent="0.25">
      <c r="D49" s="62"/>
      <c r="E49" s="62"/>
      <c r="F49" s="62"/>
      <c r="G49" s="62"/>
      <c r="I49" s="4"/>
      <c r="J49" s="4"/>
      <c r="K49" s="4"/>
      <c r="L49" s="4"/>
    </row>
    <row r="50" spans="4:12" x14ac:dyDescent="0.25">
      <c r="D50" s="62"/>
      <c r="E50" s="62"/>
      <c r="F50" s="62"/>
      <c r="G50" s="62"/>
      <c r="I50" s="4"/>
      <c r="J50" s="4"/>
      <c r="K50" s="4"/>
      <c r="L50" s="4"/>
    </row>
    <row r="51" spans="4:12" x14ac:dyDescent="0.25">
      <c r="D51" s="62"/>
      <c r="E51" s="62"/>
      <c r="F51" s="62"/>
      <c r="G51" s="62"/>
      <c r="I51" s="4"/>
      <c r="J51" s="4"/>
      <c r="K51" s="4"/>
      <c r="L51" s="4"/>
    </row>
    <row r="52" spans="4:12" x14ac:dyDescent="0.25">
      <c r="D52" s="62"/>
      <c r="E52" s="62"/>
      <c r="F52" s="62"/>
      <c r="G52" s="62"/>
      <c r="I52" s="4"/>
      <c r="J52" s="4"/>
      <c r="K52" s="4"/>
      <c r="L52" s="4"/>
    </row>
    <row r="53" spans="4:12" x14ac:dyDescent="0.25">
      <c r="D53" s="62"/>
      <c r="E53" s="62"/>
      <c r="F53" s="62"/>
      <c r="G53" s="62"/>
      <c r="I53" s="4"/>
      <c r="J53" s="4"/>
      <c r="K53" s="4"/>
      <c r="L53" s="4"/>
    </row>
    <row r="54" spans="4:12" x14ac:dyDescent="0.25">
      <c r="D54" s="62"/>
      <c r="E54" s="62"/>
      <c r="F54" s="62"/>
      <c r="G54" s="62"/>
      <c r="I54" s="4"/>
      <c r="J54" s="4"/>
      <c r="K54" s="4"/>
      <c r="L54" s="4"/>
    </row>
    <row r="55" spans="4:12" x14ac:dyDescent="0.25">
      <c r="D55" s="62"/>
      <c r="E55" s="62"/>
      <c r="F55" s="62"/>
      <c r="G55" s="62"/>
      <c r="I55" s="4"/>
      <c r="J55" s="4"/>
      <c r="K55" s="4"/>
      <c r="L55" s="4"/>
    </row>
    <row r="56" spans="4:12" x14ac:dyDescent="0.25">
      <c r="D56" s="62"/>
      <c r="E56" s="62"/>
      <c r="F56" s="62"/>
      <c r="G56" s="62"/>
      <c r="I56" s="4"/>
      <c r="J56" s="4"/>
      <c r="K56" s="4"/>
      <c r="L56" s="4"/>
    </row>
    <row r="57" spans="4:12" x14ac:dyDescent="0.25">
      <c r="D57" s="62"/>
      <c r="E57" s="62"/>
      <c r="F57" s="62"/>
      <c r="G57" s="62"/>
      <c r="I57" s="4"/>
      <c r="J57" s="4"/>
      <c r="K57" s="4"/>
      <c r="L57" s="4"/>
    </row>
    <row r="58" spans="4:12" x14ac:dyDescent="0.25">
      <c r="D58" s="62"/>
      <c r="E58" s="62"/>
      <c r="F58" s="62"/>
      <c r="G58" s="62"/>
      <c r="I58" s="4"/>
      <c r="J58" s="4"/>
      <c r="K58" s="4"/>
      <c r="L58" s="4"/>
    </row>
    <row r="59" spans="4:12" x14ac:dyDescent="0.25">
      <c r="D59" s="62"/>
      <c r="E59" s="62"/>
      <c r="F59" s="62"/>
      <c r="G59" s="62"/>
      <c r="I59" s="4"/>
      <c r="J59" s="4"/>
      <c r="K59" s="4"/>
      <c r="L59" s="4"/>
    </row>
    <row r="60" spans="4:12" x14ac:dyDescent="0.25">
      <c r="D60" s="62"/>
      <c r="E60" s="62"/>
      <c r="F60" s="62"/>
      <c r="G60" s="62"/>
      <c r="I60" s="4"/>
      <c r="J60" s="4"/>
      <c r="K60" s="4"/>
      <c r="L60" s="4"/>
    </row>
    <row r="61" spans="4:12" x14ac:dyDescent="0.25">
      <c r="D61" s="62"/>
      <c r="E61" s="62"/>
      <c r="F61" s="62"/>
      <c r="G61" s="62"/>
      <c r="I61" s="4"/>
      <c r="J61" s="4"/>
      <c r="K61" s="4"/>
      <c r="L61" s="4"/>
    </row>
    <row r="62" spans="4:12" x14ac:dyDescent="0.25">
      <c r="I62" s="4"/>
      <c r="J62" s="4"/>
      <c r="K62" s="4"/>
      <c r="L62" s="4"/>
    </row>
    <row r="63" spans="4:12" x14ac:dyDescent="0.25">
      <c r="I63" s="4"/>
      <c r="J63" s="4"/>
      <c r="K63" s="4"/>
      <c r="L63" s="4"/>
    </row>
    <row r="64" spans="4:12" x14ac:dyDescent="0.25">
      <c r="I64" s="4"/>
      <c r="J64" s="4"/>
      <c r="K64" s="4"/>
      <c r="L64" s="4"/>
    </row>
    <row r="65" spans="9:12" x14ac:dyDescent="0.25">
      <c r="I65" s="4"/>
      <c r="J65" s="4"/>
      <c r="K65" s="4"/>
      <c r="L65" s="4"/>
    </row>
    <row r="66" spans="9:12" x14ac:dyDescent="0.25">
      <c r="I66" s="4"/>
      <c r="J66" s="4"/>
      <c r="K66" s="4"/>
      <c r="L66" s="4"/>
    </row>
    <row r="67" spans="9:12" x14ac:dyDescent="0.25">
      <c r="I67" s="4"/>
      <c r="J67" s="4"/>
      <c r="K67" s="4"/>
      <c r="L67" s="4"/>
    </row>
    <row r="68" spans="9:12" x14ac:dyDescent="0.25">
      <c r="I68" s="4"/>
      <c r="J68" s="4"/>
      <c r="K68" s="4"/>
      <c r="L68" s="4"/>
    </row>
    <row r="69" spans="9:12" x14ac:dyDescent="0.25">
      <c r="I69" s="4"/>
      <c r="J69" s="4"/>
      <c r="K69" s="4"/>
      <c r="L69" s="4"/>
    </row>
    <row r="70" spans="9:12" x14ac:dyDescent="0.25">
      <c r="I70" s="4"/>
      <c r="J70" s="4"/>
      <c r="K70" s="4"/>
      <c r="L70" s="4"/>
    </row>
    <row r="71" spans="9:12" x14ac:dyDescent="0.25">
      <c r="I71" s="4"/>
      <c r="J71" s="4"/>
      <c r="K71" s="4"/>
      <c r="L71" s="4"/>
    </row>
  </sheetData>
  <sheetProtection autoFilter="0"/>
  <autoFilter ref="A13:AM16" xr:uid="{8E2E9790-3457-4594-B244-8601F9C882DA}"/>
  <mergeCells count="26">
    <mergeCell ref="C22:F22"/>
    <mergeCell ref="G22:G24"/>
    <mergeCell ref="A23:B23"/>
    <mergeCell ref="C23:F23"/>
    <mergeCell ref="C24:F24"/>
    <mergeCell ref="G25:G29"/>
    <mergeCell ref="U12:X12"/>
    <mergeCell ref="Y12:AB12"/>
    <mergeCell ref="AC12:AF12"/>
    <mergeCell ref="AG12:AJ12"/>
    <mergeCell ref="A19:F19"/>
    <mergeCell ref="G19:G21"/>
    <mergeCell ref="A20:B20"/>
    <mergeCell ref="C20:F20"/>
    <mergeCell ref="A21:B21"/>
    <mergeCell ref="C21:F21"/>
    <mergeCell ref="A10:C10"/>
    <mergeCell ref="D10:H10"/>
    <mergeCell ref="AM10:AM12"/>
    <mergeCell ref="A11:B12"/>
    <mergeCell ref="C11:C12"/>
    <mergeCell ref="D11:H11"/>
    <mergeCell ref="D12:H12"/>
    <mergeCell ref="I12:L12"/>
    <mergeCell ref="M12:P12"/>
    <mergeCell ref="Q12:T12"/>
  </mergeCells>
  <conditionalFormatting sqref="A9:AM9">
    <cfRule type="expression" dxfId="29" priority="16">
      <formula>$AM$10="MS Project"</formula>
    </cfRule>
    <cfRule type="expression" dxfId="28" priority="17">
      <formula>$AM$10="Complete"</formula>
    </cfRule>
    <cfRule type="expression" dxfId="27" priority="18">
      <formula>$AM$10="In Progress"</formula>
    </cfRule>
  </conditionalFormatting>
  <conditionalFormatting sqref="B14:H16">
    <cfRule type="expression" dxfId="26" priority="8">
      <formula>AND(#REF!&gt;0,$B14="")</formula>
    </cfRule>
  </conditionalFormatting>
  <conditionalFormatting sqref="H14:AJ16">
    <cfRule type="expression" dxfId="25" priority="5">
      <formula>SEARCH("inc",$H14,1)=1</formula>
    </cfRule>
  </conditionalFormatting>
  <conditionalFormatting sqref="I14:AJ16">
    <cfRule type="expression" dxfId="24" priority="6">
      <formula>$AM$10="MS Project"</formula>
    </cfRule>
    <cfRule type="expression" dxfId="23" priority="7">
      <formula>$AM$10="Complete"</formula>
    </cfRule>
  </conditionalFormatting>
  <conditionalFormatting sqref="I21:AJ21">
    <cfRule type="colorScale" priority="9">
      <colorScale>
        <cfvo type="min"/>
        <cfvo type="max"/>
        <color theme="1" tint="0.249977111117893"/>
        <color rgb="FFC00000"/>
      </colorScale>
    </cfRule>
  </conditionalFormatting>
  <conditionalFormatting sqref="I25:AJ25">
    <cfRule type="cellIs" dxfId="22" priority="10" operator="greaterThan">
      <formula>15</formula>
    </cfRule>
    <cfRule type="cellIs" dxfId="21" priority="11" operator="greaterThan">
      <formula>10</formula>
    </cfRule>
    <cfRule type="cellIs" dxfId="20" priority="12" operator="greaterThan">
      <formula>4</formula>
    </cfRule>
  </conditionalFormatting>
  <conditionalFormatting sqref="AM10:AM11">
    <cfRule type="cellIs" dxfId="19" priority="13" operator="equal">
      <formula>"MS Project"</formula>
    </cfRule>
    <cfRule type="cellIs" dxfId="18" priority="14" operator="equal">
      <formula>"In Progress"</formula>
    </cfRule>
    <cfRule type="cellIs" dxfId="17" priority="15" operator="equal">
      <formula>"Complete"</formula>
    </cfRule>
  </conditionalFormatting>
  <conditionalFormatting sqref="B17:H17">
    <cfRule type="expression" dxfId="16" priority="4">
      <formula>AND(#REF!&gt;0,$B17="")</formula>
    </cfRule>
  </conditionalFormatting>
  <conditionalFormatting sqref="H17:AJ17">
    <cfRule type="expression" dxfId="15" priority="1">
      <formula>SEARCH("inc",$H17,1)=1</formula>
    </cfRule>
  </conditionalFormatting>
  <conditionalFormatting sqref="I17:AJ17">
    <cfRule type="expression" dxfId="14" priority="2">
      <formula>$AM$10="MS Project"</formula>
    </cfRule>
    <cfRule type="expression" dxfId="13" priority="3">
      <formula>$AM$10="Complete"</formula>
    </cfRule>
  </conditionalFormatting>
  <dataValidations count="7">
    <dataValidation type="list" allowBlank="1" showInputMessage="1" showErrorMessage="1" sqref="I26:AJ26" xr:uid="{84E11B19-4CEB-441D-B251-BDB52C979D17}">
      <formula1>Scenarios</formula1>
    </dataValidation>
    <dataValidation type="list" allowBlank="1" showInputMessage="1" showErrorMessage="1" sqref="AM10:AM11" xr:uid="{57A6B90C-18BC-4EC9-BAFB-652B730A6C91}">
      <formula1>Status</formula1>
    </dataValidation>
    <dataValidation type="list" allowBlank="1" showErrorMessage="1" errorTitle="Invalid" error="Please select a valid entry" sqref="H14:H17" xr:uid="{EC726F44-FBD6-4CD1-B237-8389E7DF5BCA}">
      <formula1>HCType</formula1>
    </dataValidation>
    <dataValidation type="list" allowBlank="1" showInputMessage="1" showErrorMessage="1" sqref="F14:F17" xr:uid="{52BBFC99-858E-4F58-B381-2EB3D9778420}">
      <formula1>Location</formula1>
    </dataValidation>
    <dataValidation type="list" allowBlank="1" showErrorMessage="1" errorTitle="Invalid" error="Please select a valid entry" sqref="B14:B17" xr:uid="{D165A143-7DDD-428B-B185-68ACC4186D95}">
      <formula1>CVP</formula1>
    </dataValidation>
    <dataValidation type="list" allowBlank="1" showErrorMessage="1" errorTitle="Invalid" error="Please select a valid entry" sqref="C14:C17" xr:uid="{62053B27-2FE4-4487-B000-AE7FF96A2ADE}">
      <formula1>INDIRECT($B14&amp;"Team")</formula1>
    </dataValidation>
    <dataValidation type="list" allowBlank="1" showErrorMessage="1" errorTitle="Invalid" error="Please select a valid entry" prompt="Select allocation file" sqref="G14:G17" xr:uid="{9146D053-8B19-4DDA-B29C-F7D412CBBA10}">
      <formula1>INDIRECT(B14)</formula1>
    </dataValidation>
  </dataValidations>
  <pageMargins left="0.7" right="0.7" top="0.75" bottom="0.75" header="0.3" footer="0.3"/>
  <pageSetup orientation="portrait" r:id="rId1"/>
  <headerFooter>
    <oddHeader>&amp;L&amp;"Calibri"&amp;10&amp;K0000FF [AMD Official Use Only - AMD Internal Distribution Only]&amp;1#_x000D_</oddHeader>
  </headerFooter>
  <drawing r:id="rId2"/>
  <extLst>
    <ext xmlns:x14="http://schemas.microsoft.com/office/spreadsheetml/2009/9/main" uri="{05C60535-1F16-4fd2-B633-F4F36F0B64E0}">
      <x14:sparklineGroups xmlns:xm="http://schemas.microsoft.com/office/excel/2006/main">
        <x14:sparklineGroup type="column" displayEmptyCellsAs="gap" high="1" minAxisType="group" xr2:uid="{66FCAA8D-9A71-4B78-9190-111F626910BB}">
          <x14:colorSeries rgb="FF5F5F5F"/>
          <x14:colorNegative rgb="FFFFB620"/>
          <x14:colorAxis rgb="FF000000"/>
          <x14:colorMarkers rgb="FFD70077"/>
          <x14:colorFirst rgb="FF5687C2"/>
          <x14:colorLast rgb="FF359CEB"/>
          <x14:colorHigh rgb="FF56BE79"/>
          <x14:colorLow rgb="FFFF5055"/>
          <x14:sparklines>
            <x14:sparkline>
              <xm:f>'Capitola v1.0 r2 (EPD)'!I14:AJ14</xm:f>
              <xm:sqref>AM14</xm:sqref>
            </x14:sparkline>
            <x14:sparkline>
              <xm:f>'Capitola v1.0 r2 (EPD)'!I15:AJ15</xm:f>
              <xm:sqref>AM15</xm:sqref>
            </x14:sparkline>
            <x14:sparkline>
              <xm:f>'Capitola v1.0 r2 (EPD)'!I16:AJ16</xm:f>
              <xm:sqref>AM16</xm:sqref>
            </x14:sparkline>
          </x14:sparklines>
        </x14:sparklineGroup>
        <x14:sparklineGroup type="column" displayEmptyCellsAs="gap" high="1" minAxisType="group" xr2:uid="{9F8EDA63-209F-4647-972D-A97774F66938}">
          <x14:colorSeries rgb="FF5F5F5F"/>
          <x14:colorNegative rgb="FFFFB620"/>
          <x14:colorAxis rgb="FF000000"/>
          <x14:colorMarkers rgb="FFD70077"/>
          <x14:colorFirst rgb="FF5687C2"/>
          <x14:colorLast rgb="FF359CEB"/>
          <x14:colorHigh rgb="FF56BE79"/>
          <x14:colorLow rgb="FFFF5055"/>
          <x14:sparklines>
            <x14:sparkline>
              <xm:f>'Capitola v1.0 r2 (EPD)'!I17:AJ17</xm:f>
              <xm:sqref>AM17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4D8B0-BE96-47D0-834E-F5F7F230AA65}">
  <sheetPr published="0">
    <tabColor rgb="FF00B050"/>
  </sheetPr>
  <dimension ref="A1:AM121"/>
  <sheetViews>
    <sheetView showGridLines="0" topLeftCell="A11" zoomScale="70" zoomScaleNormal="70" workbookViewId="0">
      <selection activeCell="Q15" sqref="Q15"/>
    </sheetView>
  </sheetViews>
  <sheetFormatPr defaultColWidth="8.42578125" defaultRowHeight="15" outlineLevelRow="1" outlineLevelCol="1" x14ac:dyDescent="0.25"/>
  <cols>
    <col min="1" max="1" width="10.42578125" customWidth="1" outlineLevel="1"/>
    <col min="2" max="2" width="10.42578125" customWidth="1"/>
    <col min="3" max="3" width="27.5703125" customWidth="1"/>
    <col min="4" max="4" width="33.5703125" customWidth="1"/>
    <col min="5" max="5" width="33.5703125" style="235" customWidth="1"/>
    <col min="6" max="6" width="11" customWidth="1" outlineLevel="1"/>
    <col min="7" max="7" width="23" customWidth="1" outlineLevel="1"/>
    <col min="8" max="8" width="19.5703125" bestFit="1" customWidth="1"/>
    <col min="9" max="11" width="6.42578125" hidden="1" customWidth="1"/>
    <col min="12" max="12" width="6.42578125" customWidth="1"/>
    <col min="13" max="13" width="6.42578125" customWidth="1" outlineLevel="1"/>
    <col min="14" max="14" width="6.7109375" customWidth="1" outlineLevel="1"/>
    <col min="15" max="15" width="7" customWidth="1" outlineLevel="1"/>
    <col min="16" max="16" width="7.28515625" customWidth="1" outlineLevel="1"/>
    <col min="17" max="17" width="6.7109375" customWidth="1" outlineLevel="1"/>
    <col min="18" max="18" width="7.85546875" bestFit="1" customWidth="1" outlineLevel="1"/>
    <col min="19" max="20" width="8.5703125" bestFit="1" customWidth="1" outlineLevel="1"/>
    <col min="21" max="25" width="8.140625" bestFit="1" customWidth="1" outlineLevel="1"/>
    <col min="26" max="27" width="6.7109375" hidden="1" customWidth="1" outlineLevel="1"/>
    <col min="28" max="36" width="6.42578125" hidden="1" customWidth="1" outlineLevel="1"/>
    <col min="37" max="37" width="11.42578125" bestFit="1" customWidth="1"/>
    <col min="38" max="38" width="9.42578125" customWidth="1"/>
    <col min="39" max="39" width="16.42578125" customWidth="1"/>
    <col min="40" max="40" width="8.42578125" customWidth="1"/>
  </cols>
  <sheetData>
    <row r="1" spans="1:39" x14ac:dyDescent="0.25">
      <c r="D1" s="158" t="s">
        <v>287</v>
      </c>
      <c r="E1" s="235" t="s">
        <v>288</v>
      </c>
    </row>
    <row r="2" spans="1:39" x14ac:dyDescent="0.25">
      <c r="D2" s="160" t="s">
        <v>289</v>
      </c>
      <c r="E2" s="235" t="s">
        <v>290</v>
      </c>
    </row>
    <row r="3" spans="1:39" x14ac:dyDescent="0.25">
      <c r="D3" s="162" t="s">
        <v>291</v>
      </c>
      <c r="E3" s="235" t="s">
        <v>292</v>
      </c>
    </row>
    <row r="4" spans="1:39" x14ac:dyDescent="0.25">
      <c r="D4" s="164" t="s">
        <v>293</v>
      </c>
      <c r="E4" s="235" t="s">
        <v>294</v>
      </c>
    </row>
    <row r="5" spans="1:39" x14ac:dyDescent="0.25">
      <c r="D5" s="166" t="s">
        <v>295</v>
      </c>
      <c r="E5" s="235" t="s">
        <v>296</v>
      </c>
    </row>
    <row r="6" spans="1:39" x14ac:dyDescent="0.25">
      <c r="D6" s="168" t="s">
        <v>297</v>
      </c>
      <c r="E6" s="235" t="s">
        <v>298</v>
      </c>
    </row>
    <row r="9" spans="1:39" ht="19.5" customHeight="1" x14ac:dyDescent="0.25">
      <c r="A9" s="92" t="str">
        <f>_xlfn.XLOOKUP(AM10,Status,statusnote,"",0,1)</f>
        <v>Sizing is OPEN.  Please UPDATE your estimates for your teams in this sheet.  Also UPDATE the scope, assumptions and risks in the Assumptions tab.</v>
      </c>
      <c r="B9" s="93"/>
      <c r="C9" s="93"/>
      <c r="D9" s="36"/>
      <c r="E9" s="236"/>
      <c r="F9" s="36"/>
      <c r="G9" s="36"/>
      <c r="H9" s="36"/>
      <c r="I9" s="90"/>
      <c r="J9" s="90"/>
      <c r="K9" s="90"/>
      <c r="L9" s="90"/>
      <c r="M9" s="90"/>
      <c r="N9" s="90"/>
      <c r="O9" s="90"/>
      <c r="P9" s="90"/>
      <c r="Q9" s="90"/>
      <c r="R9" s="90"/>
      <c r="S9" s="90"/>
      <c r="T9" s="91"/>
      <c r="U9" s="91"/>
      <c r="V9" s="91"/>
      <c r="W9" s="91"/>
      <c r="X9" s="37"/>
      <c r="Y9" s="37"/>
      <c r="Z9" s="37"/>
      <c r="AA9" s="37"/>
      <c r="AB9" s="37"/>
      <c r="AC9" s="37"/>
      <c r="AD9" s="37"/>
      <c r="AE9" s="37"/>
      <c r="AF9" s="37"/>
      <c r="AG9" s="37"/>
      <c r="AH9" s="37"/>
      <c r="AI9" s="37"/>
      <c r="AJ9" s="37"/>
      <c r="AK9" s="37"/>
      <c r="AL9" s="37"/>
      <c r="AM9" s="154" t="s">
        <v>0</v>
      </c>
    </row>
    <row r="10" spans="1:39" ht="75" customHeight="1" x14ac:dyDescent="0.25">
      <c r="A10" s="219" t="s">
        <v>238</v>
      </c>
      <c r="B10" s="219"/>
      <c r="C10" s="220"/>
      <c r="D10" s="221" t="s">
        <v>239</v>
      </c>
      <c r="E10" s="222"/>
      <c r="F10" s="223"/>
      <c r="G10" s="223"/>
      <c r="H10" s="223"/>
      <c r="I10" s="39"/>
      <c r="J10" s="39"/>
      <c r="K10" s="39"/>
      <c r="L10" s="103"/>
      <c r="M10" s="103"/>
      <c r="N10" s="103"/>
      <c r="O10" s="103"/>
      <c r="P10" s="39"/>
      <c r="Q10" s="39"/>
      <c r="R10" s="39"/>
      <c r="S10" s="39"/>
      <c r="T10" s="39"/>
      <c r="U10" s="39"/>
      <c r="V10" s="39"/>
      <c r="W10" s="39"/>
      <c r="X10" s="39"/>
      <c r="Y10" s="39"/>
      <c r="Z10" s="39"/>
      <c r="AA10" s="39"/>
      <c r="AB10" s="39"/>
      <c r="AC10" s="39"/>
      <c r="AD10" s="39"/>
      <c r="AE10" s="39"/>
      <c r="AF10" s="39"/>
      <c r="AG10" s="39"/>
      <c r="AH10" s="39"/>
      <c r="AI10" s="39"/>
      <c r="AJ10" s="39"/>
      <c r="AK10" s="102"/>
      <c r="AL10" s="102"/>
      <c r="AM10" s="202" t="s">
        <v>1</v>
      </c>
    </row>
    <row r="11" spans="1:39" x14ac:dyDescent="0.25">
      <c r="A11" s="204" t="s">
        <v>2</v>
      </c>
      <c r="B11" s="205"/>
      <c r="C11" s="208">
        <v>46134</v>
      </c>
      <c r="D11" s="210" t="s">
        <v>3</v>
      </c>
      <c r="E11" s="211"/>
      <c r="F11" s="211"/>
      <c r="G11" s="211"/>
      <c r="H11" s="211"/>
      <c r="I11" s="39"/>
      <c r="J11" s="39"/>
      <c r="K11" s="39"/>
      <c r="L11" s="103"/>
      <c r="M11" s="103"/>
      <c r="N11" s="103"/>
      <c r="O11" s="103"/>
      <c r="P11" s="103"/>
      <c r="Q11" s="103"/>
      <c r="R11" s="103"/>
      <c r="S11" s="103"/>
      <c r="T11" s="103"/>
      <c r="U11" s="103"/>
      <c r="V11" s="103"/>
      <c r="W11" s="103"/>
      <c r="X11" s="103"/>
      <c r="Y11" s="39"/>
      <c r="Z11" s="39"/>
      <c r="AA11" s="39"/>
      <c r="AB11" s="39"/>
      <c r="AC11" s="39"/>
      <c r="AD11" s="39"/>
      <c r="AE11" s="39"/>
      <c r="AF11" s="39"/>
      <c r="AG11" s="39"/>
      <c r="AH11" s="39"/>
      <c r="AI11" s="39"/>
      <c r="AJ11" s="39"/>
      <c r="AK11" s="102"/>
      <c r="AL11" s="102"/>
      <c r="AM11" s="202"/>
    </row>
    <row r="12" spans="1:39" ht="15.75" customHeight="1" x14ac:dyDescent="0.25">
      <c r="A12" s="206"/>
      <c r="B12" s="207"/>
      <c r="C12" s="209"/>
      <c r="D12" s="212" t="s">
        <v>4</v>
      </c>
      <c r="E12" s="213"/>
      <c r="F12" s="213"/>
      <c r="G12" s="213"/>
      <c r="H12" s="214"/>
      <c r="I12" s="215">
        <v>2026</v>
      </c>
      <c r="J12" s="216"/>
      <c r="K12" s="216"/>
      <c r="L12" s="217"/>
      <c r="M12" s="215">
        <f>I12+1</f>
        <v>2027</v>
      </c>
      <c r="N12" s="216"/>
      <c r="O12" s="216"/>
      <c r="P12" s="217"/>
      <c r="Q12" s="218">
        <f>M12+1</f>
        <v>2028</v>
      </c>
      <c r="R12" s="218"/>
      <c r="S12" s="218"/>
      <c r="T12" s="218"/>
      <c r="U12" s="218">
        <f>Q12+1</f>
        <v>2029</v>
      </c>
      <c r="V12" s="218"/>
      <c r="W12" s="218"/>
      <c r="X12" s="218"/>
      <c r="Y12" s="218">
        <f>U12+1</f>
        <v>2030</v>
      </c>
      <c r="Z12" s="218"/>
      <c r="AA12" s="218"/>
      <c r="AB12" s="218"/>
      <c r="AC12" s="218">
        <f>Y12+1</f>
        <v>2031</v>
      </c>
      <c r="AD12" s="218"/>
      <c r="AE12" s="218"/>
      <c r="AF12" s="218"/>
      <c r="AG12" s="218">
        <f>AC12+1</f>
        <v>2032</v>
      </c>
      <c r="AH12" s="218"/>
      <c r="AI12" s="218"/>
      <c r="AJ12" s="218"/>
      <c r="AK12" s="120">
        <f>SUBTOTAL(9,AK14:AK67)</f>
        <v>219.7</v>
      </c>
      <c r="AL12" s="121">
        <f>SUBTOTAL(9,AL14:AL67)</f>
        <v>36.200000000000003</v>
      </c>
      <c r="AM12" s="203"/>
    </row>
    <row r="13" spans="1:39" ht="33" customHeight="1" x14ac:dyDescent="0.25">
      <c r="A13" s="40" t="s">
        <v>5</v>
      </c>
      <c r="B13" s="40" t="s">
        <v>6</v>
      </c>
      <c r="C13" s="40" t="s">
        <v>7</v>
      </c>
      <c r="D13" s="41" t="s">
        <v>8</v>
      </c>
      <c r="E13" s="40" t="s">
        <v>235</v>
      </c>
      <c r="F13" s="41" t="s">
        <v>9</v>
      </c>
      <c r="G13" s="40" t="s">
        <v>10</v>
      </c>
      <c r="H13" s="41" t="s">
        <v>11</v>
      </c>
      <c r="I13" s="42" t="str">
        <f>"Q1"&amp;RIGHT(I12,2)</f>
        <v>Q126</v>
      </c>
      <c r="J13" s="42" t="str">
        <f>"Q"&amp;MID(I13,2,1)+1&amp;RIGHT(I12,2)</f>
        <v>Q226</v>
      </c>
      <c r="K13" s="42" t="str">
        <f>"Q"&amp;MID(J13,2,1)+1&amp;RIGHT(I12,2)</f>
        <v>Q326</v>
      </c>
      <c r="L13" s="42" t="str">
        <f>"Q"&amp;MID(K13,2,1)+1&amp;RIGHT(I12,2)</f>
        <v>Q426</v>
      </c>
      <c r="M13" s="42" t="str">
        <f>"Q1"&amp;RIGHT(M12,2)</f>
        <v>Q127</v>
      </c>
      <c r="N13" s="42" t="str">
        <f>"Q"&amp;MID(M13,2,1)+1&amp;RIGHT(M12,2)</f>
        <v>Q227</v>
      </c>
      <c r="O13" s="42" t="str">
        <f>"Q"&amp;MID(N13,2,1)+1&amp;RIGHT(M12,2)</f>
        <v>Q327</v>
      </c>
      <c r="P13" s="42" t="str">
        <f>"Q"&amp;MID(O13,2,1)+1&amp;RIGHT(M12,2)</f>
        <v>Q427</v>
      </c>
      <c r="Q13" s="42" t="str">
        <f>"Q1"&amp;RIGHT(Q12,2)</f>
        <v>Q128</v>
      </c>
      <c r="R13" s="42" t="str">
        <f>"Q"&amp;MID(Q13,2,1)+1&amp;RIGHT(Q12,2)</f>
        <v>Q228</v>
      </c>
      <c r="S13" s="42" t="str">
        <f>"Q"&amp;MID(R13,2,1)+1&amp;RIGHT(Q12,2)</f>
        <v>Q328</v>
      </c>
      <c r="T13" s="42" t="str">
        <f>"Q"&amp;MID(S13,2,1)+1&amp;RIGHT(Q12,2)</f>
        <v>Q428</v>
      </c>
      <c r="U13" s="42" t="str">
        <f>"Q1"&amp;RIGHT(U12,2)</f>
        <v>Q129</v>
      </c>
      <c r="V13" s="42" t="str">
        <f>"Q"&amp;MID(U13,2,1)+1&amp;RIGHT(U12,2)</f>
        <v>Q229</v>
      </c>
      <c r="W13" s="42" t="str">
        <f>"Q"&amp;MID(V13,2,1)+1&amp;RIGHT(U12,2)</f>
        <v>Q329</v>
      </c>
      <c r="X13" s="42" t="str">
        <f>"Q"&amp;MID(W13,2,1)+1&amp;RIGHT(U12,2)</f>
        <v>Q429</v>
      </c>
      <c r="Y13" s="42" t="str">
        <f>"Q1"&amp;RIGHT(Y12,2)</f>
        <v>Q130</v>
      </c>
      <c r="Z13" s="42" t="str">
        <f>"Q"&amp;MID(Y13,2,1)+1&amp;RIGHT(Y12,2)</f>
        <v>Q230</v>
      </c>
      <c r="AA13" s="42" t="str">
        <f>"Q"&amp;MID(Z13,2,1)+1&amp;RIGHT(Y12,2)</f>
        <v>Q330</v>
      </c>
      <c r="AB13" s="42" t="str">
        <f>"Q"&amp;MID(AA13,2,1)+1&amp;RIGHT(Y12,2)</f>
        <v>Q430</v>
      </c>
      <c r="AC13" s="42" t="str">
        <f>"Q1"&amp;RIGHT(AC12,2)</f>
        <v>Q131</v>
      </c>
      <c r="AD13" s="42" t="str">
        <f>"Q"&amp;MID(AC13,2,1)+1&amp;RIGHT(AC12,2)</f>
        <v>Q231</v>
      </c>
      <c r="AE13" s="42" t="str">
        <f>"Q"&amp;MID(AD13,2,1)+1&amp;RIGHT(AC12,2)</f>
        <v>Q331</v>
      </c>
      <c r="AF13" s="42" t="str">
        <f>"Q"&amp;MID(AE13,2,1)+1&amp;RIGHT(AC12,2)</f>
        <v>Q431</v>
      </c>
      <c r="AG13" s="42" t="str">
        <f>"Q1"&amp;RIGHT(AG12,2)</f>
        <v>Q132</v>
      </c>
      <c r="AH13" s="42" t="str">
        <f>"Q"&amp;MID(AG13,2,1)+1&amp;RIGHT(AG12,2)</f>
        <v>Q232</v>
      </c>
      <c r="AI13" s="42" t="str">
        <f>"Q"&amp;MID(AH13,2,1)+1&amp;RIGHT(AG12,2)</f>
        <v>Q332</v>
      </c>
      <c r="AJ13" s="42" t="str">
        <f>"Q"&amp;MID(AI13,2,1)+1&amp;RIGHT(AG12,2)</f>
        <v>Q432</v>
      </c>
      <c r="AK13" s="43" t="s">
        <v>12</v>
      </c>
      <c r="AL13" s="43" t="s">
        <v>13</v>
      </c>
      <c r="AM13" s="44" t="s">
        <v>14</v>
      </c>
    </row>
    <row r="14" spans="1:39" ht="30" x14ac:dyDescent="0.25">
      <c r="A14" s="185"/>
      <c r="B14" s="169" t="s">
        <v>25</v>
      </c>
      <c r="C14" s="170" t="s">
        <v>28</v>
      </c>
      <c r="D14" s="171" t="s">
        <v>228</v>
      </c>
      <c r="E14" s="172"/>
      <c r="F14" s="172" t="s">
        <v>17</v>
      </c>
      <c r="G14" s="173" t="s">
        <v>236</v>
      </c>
      <c r="H14" s="96" t="s">
        <v>18</v>
      </c>
      <c r="I14" s="109"/>
      <c r="J14" s="109"/>
      <c r="K14" s="109"/>
      <c r="L14" s="157"/>
      <c r="M14" s="157">
        <v>0.2</v>
      </c>
      <c r="N14" s="159">
        <v>0.5</v>
      </c>
      <c r="O14" s="159">
        <v>0.5</v>
      </c>
      <c r="P14" s="159">
        <v>0.5</v>
      </c>
      <c r="Q14" s="161">
        <v>0.5</v>
      </c>
      <c r="R14" s="161">
        <v>0.5</v>
      </c>
      <c r="S14" s="161">
        <v>0.5</v>
      </c>
      <c r="T14" s="163">
        <v>0.5</v>
      </c>
      <c r="U14" s="163">
        <v>0.5</v>
      </c>
      <c r="V14" s="165">
        <v>0.5</v>
      </c>
      <c r="W14" s="165">
        <v>0.5</v>
      </c>
      <c r="X14" s="167">
        <v>0.3</v>
      </c>
      <c r="Y14" s="167">
        <v>0.2</v>
      </c>
      <c r="Z14" s="109"/>
      <c r="AA14" s="109"/>
      <c r="AB14" s="109"/>
      <c r="AC14" s="109"/>
      <c r="AD14" s="109"/>
      <c r="AE14" s="109">
        <v>0</v>
      </c>
      <c r="AF14" s="109">
        <v>0</v>
      </c>
      <c r="AG14" s="109"/>
      <c r="AH14" s="109"/>
      <c r="AI14" s="109"/>
      <c r="AJ14" s="109"/>
      <c r="AK14" s="110">
        <f t="shared" ref="AK14:AK67" si="0">SUM(I14:AJ14)</f>
        <v>5.7</v>
      </c>
      <c r="AL14" s="111">
        <f t="shared" ref="AL14:AL67" si="1">MAX(I14:AJ14)</f>
        <v>0.5</v>
      </c>
      <c r="AM14" s="47"/>
    </row>
    <row r="15" spans="1:39" x14ac:dyDescent="0.25">
      <c r="A15" s="185"/>
      <c r="B15" s="169" t="s">
        <v>25</v>
      </c>
      <c r="C15" s="170" t="s">
        <v>28</v>
      </c>
      <c r="D15" s="171" t="s">
        <v>240</v>
      </c>
      <c r="E15" s="172" t="s">
        <v>245</v>
      </c>
      <c r="F15" s="172" t="s">
        <v>17</v>
      </c>
      <c r="G15" s="173" t="s">
        <v>236</v>
      </c>
      <c r="H15" s="96" t="s">
        <v>18</v>
      </c>
      <c r="I15" s="109"/>
      <c r="J15" s="109"/>
      <c r="K15" s="109"/>
      <c r="L15" s="157"/>
      <c r="M15" s="157"/>
      <c r="N15" s="159"/>
      <c r="O15" s="159"/>
      <c r="P15" s="159"/>
      <c r="Q15" s="161"/>
      <c r="R15" s="161">
        <v>0.5</v>
      </c>
      <c r="S15" s="161">
        <v>1.5</v>
      </c>
      <c r="T15" s="163">
        <v>1.5</v>
      </c>
      <c r="U15" s="163">
        <v>1.5</v>
      </c>
      <c r="V15" s="165">
        <v>1</v>
      </c>
      <c r="W15" s="165">
        <v>1</v>
      </c>
      <c r="X15" s="167">
        <v>0.5</v>
      </c>
      <c r="Y15" s="167">
        <v>0.5</v>
      </c>
      <c r="Z15" s="109"/>
      <c r="AA15" s="109"/>
      <c r="AB15" s="109"/>
      <c r="AC15" s="109"/>
      <c r="AD15" s="109"/>
      <c r="AE15" s="109"/>
      <c r="AF15" s="109"/>
      <c r="AG15" s="109"/>
      <c r="AH15" s="109"/>
      <c r="AI15" s="109"/>
      <c r="AJ15" s="109"/>
      <c r="AK15" s="110">
        <f t="shared" si="0"/>
        <v>8</v>
      </c>
      <c r="AL15" s="111">
        <f t="shared" si="1"/>
        <v>1.5</v>
      </c>
      <c r="AM15" s="47"/>
    </row>
    <row r="16" spans="1:39" x14ac:dyDescent="0.25">
      <c r="A16" s="185"/>
      <c r="B16" s="169" t="s">
        <v>25</v>
      </c>
      <c r="C16" s="170" t="s">
        <v>28</v>
      </c>
      <c r="D16" s="171" t="s">
        <v>229</v>
      </c>
      <c r="E16" s="172" t="s">
        <v>246</v>
      </c>
      <c r="F16" s="172" t="s">
        <v>29</v>
      </c>
      <c r="G16" s="173" t="s">
        <v>236</v>
      </c>
      <c r="H16" s="96" t="s">
        <v>18</v>
      </c>
      <c r="I16" s="109"/>
      <c r="J16" s="109"/>
      <c r="K16" s="109"/>
      <c r="L16" s="157"/>
      <c r="M16" s="157"/>
      <c r="N16" s="159"/>
      <c r="O16" s="159"/>
      <c r="P16" s="159"/>
      <c r="Q16" s="161">
        <v>0.5</v>
      </c>
      <c r="R16" s="161">
        <v>0.5</v>
      </c>
      <c r="S16" s="161">
        <v>0.5</v>
      </c>
      <c r="T16" s="163">
        <v>0.5</v>
      </c>
      <c r="U16" s="163">
        <v>0.5</v>
      </c>
      <c r="V16" s="165">
        <v>0.5</v>
      </c>
      <c r="W16" s="165">
        <v>0.5</v>
      </c>
      <c r="X16" s="167">
        <v>0.3</v>
      </c>
      <c r="Y16" s="167">
        <v>0.2</v>
      </c>
      <c r="Z16" s="109"/>
      <c r="AA16" s="109"/>
      <c r="AB16" s="109"/>
      <c r="AC16" s="109"/>
      <c r="AD16" s="109"/>
      <c r="AE16" s="109"/>
      <c r="AF16" s="109"/>
      <c r="AG16" s="109"/>
      <c r="AH16" s="109"/>
      <c r="AI16" s="109"/>
      <c r="AJ16" s="109"/>
      <c r="AK16" s="110">
        <f t="shared" si="0"/>
        <v>4</v>
      </c>
      <c r="AL16" s="111">
        <f t="shared" si="1"/>
        <v>0.5</v>
      </c>
      <c r="AM16" s="47"/>
    </row>
    <row r="17" spans="1:39" x14ac:dyDescent="0.25">
      <c r="A17" s="185"/>
      <c r="B17" s="169" t="s">
        <v>25</v>
      </c>
      <c r="C17" s="170" t="s">
        <v>28</v>
      </c>
      <c r="D17" s="171" t="s">
        <v>230</v>
      </c>
      <c r="E17" s="172" t="s">
        <v>247</v>
      </c>
      <c r="F17" s="172" t="s">
        <v>17</v>
      </c>
      <c r="G17" s="173" t="s">
        <v>236</v>
      </c>
      <c r="H17" s="96" t="s">
        <v>18</v>
      </c>
      <c r="I17" s="109"/>
      <c r="J17" s="109"/>
      <c r="K17" s="109"/>
      <c r="L17" s="157"/>
      <c r="M17" s="157"/>
      <c r="N17" s="159"/>
      <c r="O17" s="159"/>
      <c r="P17" s="159"/>
      <c r="Q17" s="161">
        <v>1</v>
      </c>
      <c r="R17" s="161">
        <v>1</v>
      </c>
      <c r="S17" s="161">
        <v>1</v>
      </c>
      <c r="T17" s="163">
        <v>1</v>
      </c>
      <c r="U17" s="163">
        <v>1</v>
      </c>
      <c r="V17" s="165">
        <v>1</v>
      </c>
      <c r="W17" s="165">
        <v>1</v>
      </c>
      <c r="X17" s="167">
        <v>0.5</v>
      </c>
      <c r="Y17" s="167">
        <v>0.5</v>
      </c>
      <c r="Z17" s="109"/>
      <c r="AA17" s="109"/>
      <c r="AB17" s="109"/>
      <c r="AC17" s="109"/>
      <c r="AD17" s="109"/>
      <c r="AE17" s="109"/>
      <c r="AF17" s="109"/>
      <c r="AG17" s="109"/>
      <c r="AH17" s="109"/>
      <c r="AI17" s="109"/>
      <c r="AJ17" s="109"/>
      <c r="AK17" s="110">
        <f t="shared" si="0"/>
        <v>8</v>
      </c>
      <c r="AL17" s="111">
        <f t="shared" si="1"/>
        <v>1</v>
      </c>
      <c r="AM17" s="47"/>
    </row>
    <row r="18" spans="1:39" ht="30" x14ac:dyDescent="0.25">
      <c r="A18" s="185"/>
      <c r="B18" s="174" t="s">
        <v>25</v>
      </c>
      <c r="C18" s="175" t="s">
        <v>28</v>
      </c>
      <c r="D18" s="176" t="s">
        <v>232</v>
      </c>
      <c r="E18" s="177" t="s">
        <v>256</v>
      </c>
      <c r="F18" s="177" t="s">
        <v>29</v>
      </c>
      <c r="G18" s="178" t="s">
        <v>237</v>
      </c>
      <c r="H18" s="96" t="s">
        <v>18</v>
      </c>
      <c r="I18" s="109"/>
      <c r="J18" s="109"/>
      <c r="K18" s="109"/>
      <c r="L18" s="157"/>
      <c r="M18" s="157"/>
      <c r="N18" s="159"/>
      <c r="O18" s="159"/>
      <c r="P18" s="159"/>
      <c r="Q18" s="161"/>
      <c r="R18" s="161">
        <v>1</v>
      </c>
      <c r="S18" s="161">
        <v>1</v>
      </c>
      <c r="T18" s="163">
        <v>2</v>
      </c>
      <c r="U18" s="163">
        <v>2</v>
      </c>
      <c r="V18" s="165">
        <v>2</v>
      </c>
      <c r="W18" s="165">
        <v>1</v>
      </c>
      <c r="X18" s="167">
        <v>1</v>
      </c>
      <c r="Y18" s="167">
        <v>0.5</v>
      </c>
      <c r="Z18" s="109"/>
      <c r="AA18" s="109"/>
      <c r="AB18" s="109"/>
      <c r="AC18" s="109"/>
      <c r="AD18" s="109"/>
      <c r="AE18" s="109"/>
      <c r="AF18" s="109"/>
      <c r="AG18" s="109"/>
      <c r="AH18" s="109"/>
      <c r="AI18" s="109"/>
      <c r="AJ18" s="109"/>
      <c r="AK18" s="110">
        <f t="shared" si="0"/>
        <v>10.5</v>
      </c>
      <c r="AL18" s="111">
        <f t="shared" si="1"/>
        <v>2</v>
      </c>
      <c r="AM18" s="47"/>
    </row>
    <row r="19" spans="1:39" ht="45" x14ac:dyDescent="0.25">
      <c r="A19" s="185"/>
      <c r="B19" s="174" t="s">
        <v>25</v>
      </c>
      <c r="C19" s="175" t="s">
        <v>28</v>
      </c>
      <c r="D19" s="176" t="s">
        <v>257</v>
      </c>
      <c r="E19" s="177" t="s">
        <v>258</v>
      </c>
      <c r="F19" s="177" t="s">
        <v>29</v>
      </c>
      <c r="G19" s="178" t="s">
        <v>237</v>
      </c>
      <c r="H19" s="96" t="s">
        <v>18</v>
      </c>
      <c r="I19" s="109"/>
      <c r="J19" s="109"/>
      <c r="K19" s="109"/>
      <c r="L19" s="157"/>
      <c r="M19" s="157"/>
      <c r="N19" s="159"/>
      <c r="O19" s="159"/>
      <c r="P19" s="159"/>
      <c r="Q19" s="161"/>
      <c r="R19" s="161">
        <v>1</v>
      </c>
      <c r="S19" s="161">
        <v>1</v>
      </c>
      <c r="T19" s="163">
        <v>1.5</v>
      </c>
      <c r="U19" s="163">
        <v>1.5</v>
      </c>
      <c r="V19" s="165">
        <v>1.5</v>
      </c>
      <c r="W19" s="165">
        <v>1</v>
      </c>
      <c r="X19" s="167">
        <v>1</v>
      </c>
      <c r="Y19" s="167">
        <v>1</v>
      </c>
      <c r="Z19" s="109"/>
      <c r="AA19" s="109"/>
      <c r="AB19" s="109"/>
      <c r="AC19" s="109"/>
      <c r="AD19" s="109"/>
      <c r="AE19" s="109"/>
      <c r="AF19" s="109"/>
      <c r="AG19" s="109"/>
      <c r="AH19" s="109"/>
      <c r="AI19" s="109"/>
      <c r="AJ19" s="109"/>
      <c r="AK19" s="110">
        <f t="shared" si="0"/>
        <v>9.5</v>
      </c>
      <c r="AL19" s="111">
        <f t="shared" si="1"/>
        <v>1.5</v>
      </c>
      <c r="AM19" s="47"/>
    </row>
    <row r="20" spans="1:39" ht="45" x14ac:dyDescent="0.25">
      <c r="A20" s="185"/>
      <c r="B20" s="174" t="s">
        <v>25</v>
      </c>
      <c r="C20" s="175" t="s">
        <v>28</v>
      </c>
      <c r="D20" s="176" t="s">
        <v>300</v>
      </c>
      <c r="E20" s="177" t="s">
        <v>301</v>
      </c>
      <c r="F20" s="177" t="s">
        <v>29</v>
      </c>
      <c r="G20" s="178" t="s">
        <v>237</v>
      </c>
      <c r="H20" s="96" t="s">
        <v>18</v>
      </c>
      <c r="I20" s="109"/>
      <c r="J20" s="109"/>
      <c r="K20" s="109"/>
      <c r="L20" s="157"/>
      <c r="M20" s="157"/>
      <c r="N20" s="159"/>
      <c r="O20" s="159"/>
      <c r="P20" s="159"/>
      <c r="Q20" s="161"/>
      <c r="R20" s="161">
        <v>1</v>
      </c>
      <c r="S20" s="161">
        <v>1</v>
      </c>
      <c r="T20" s="163">
        <v>2</v>
      </c>
      <c r="U20" s="163">
        <v>2</v>
      </c>
      <c r="V20" s="165">
        <v>2</v>
      </c>
      <c r="W20" s="165">
        <v>2</v>
      </c>
      <c r="X20" s="167">
        <v>1</v>
      </c>
      <c r="Y20" s="167">
        <v>1</v>
      </c>
      <c r="Z20" s="109"/>
      <c r="AA20" s="109"/>
      <c r="AB20" s="109"/>
      <c r="AC20" s="109"/>
      <c r="AD20" s="109"/>
      <c r="AE20" s="109"/>
      <c r="AF20" s="109"/>
      <c r="AG20" s="109"/>
      <c r="AH20" s="109"/>
      <c r="AI20" s="109"/>
      <c r="AJ20" s="109"/>
      <c r="AK20" s="110">
        <f t="shared" si="0"/>
        <v>12</v>
      </c>
      <c r="AL20" s="111">
        <f t="shared" si="1"/>
        <v>2</v>
      </c>
      <c r="AM20" s="47"/>
    </row>
    <row r="21" spans="1:39" x14ac:dyDescent="0.25">
      <c r="A21" s="185"/>
      <c r="B21" s="174" t="s">
        <v>25</v>
      </c>
      <c r="C21" s="175" t="s">
        <v>28</v>
      </c>
      <c r="D21" s="176" t="s">
        <v>233</v>
      </c>
      <c r="E21" s="177" t="s">
        <v>259</v>
      </c>
      <c r="F21" s="177" t="s">
        <v>29</v>
      </c>
      <c r="G21" s="178" t="s">
        <v>237</v>
      </c>
      <c r="H21" s="96" t="s">
        <v>18</v>
      </c>
      <c r="I21" s="109"/>
      <c r="J21" s="109"/>
      <c r="K21" s="109"/>
      <c r="L21" s="157"/>
      <c r="M21" s="157"/>
      <c r="N21" s="159"/>
      <c r="O21" s="159"/>
      <c r="P21" s="159"/>
      <c r="Q21" s="161"/>
      <c r="R21" s="161">
        <v>1</v>
      </c>
      <c r="S21" s="161">
        <v>2</v>
      </c>
      <c r="T21" s="163">
        <v>2</v>
      </c>
      <c r="U21" s="163">
        <v>2</v>
      </c>
      <c r="V21" s="165">
        <v>2</v>
      </c>
      <c r="W21" s="165">
        <v>1</v>
      </c>
      <c r="X21" s="167">
        <v>1</v>
      </c>
      <c r="Y21" s="167">
        <v>1</v>
      </c>
      <c r="Z21" s="109"/>
      <c r="AA21" s="109"/>
      <c r="AB21" s="109"/>
      <c r="AC21" s="109"/>
      <c r="AD21" s="109"/>
      <c r="AE21" s="109"/>
      <c r="AF21" s="109"/>
      <c r="AG21" s="109"/>
      <c r="AH21" s="109"/>
      <c r="AI21" s="109"/>
      <c r="AJ21" s="109"/>
      <c r="AK21" s="110">
        <f t="shared" si="0"/>
        <v>12</v>
      </c>
      <c r="AL21" s="111">
        <f t="shared" si="1"/>
        <v>2</v>
      </c>
      <c r="AM21" s="47"/>
    </row>
    <row r="22" spans="1:39" x14ac:dyDescent="0.25">
      <c r="A22" s="185"/>
      <c r="B22" s="174" t="s">
        <v>25</v>
      </c>
      <c r="C22" s="175" t="s">
        <v>28</v>
      </c>
      <c r="D22" s="176" t="s">
        <v>302</v>
      </c>
      <c r="E22" s="177" t="s">
        <v>303</v>
      </c>
      <c r="F22" s="177" t="s">
        <v>29</v>
      </c>
      <c r="G22" s="178" t="s">
        <v>237</v>
      </c>
      <c r="H22" s="96" t="s">
        <v>18</v>
      </c>
      <c r="I22" s="109"/>
      <c r="J22" s="109"/>
      <c r="K22" s="109"/>
      <c r="L22" s="157"/>
      <c r="M22" s="157"/>
      <c r="N22" s="159"/>
      <c r="O22" s="159"/>
      <c r="P22" s="159"/>
      <c r="Q22" s="161"/>
      <c r="R22" s="161">
        <v>0.5</v>
      </c>
      <c r="S22" s="161">
        <v>1</v>
      </c>
      <c r="T22" s="163">
        <v>1</v>
      </c>
      <c r="U22" s="163">
        <v>1</v>
      </c>
      <c r="V22" s="165">
        <v>1</v>
      </c>
      <c r="W22" s="165">
        <v>1</v>
      </c>
      <c r="X22" s="167">
        <v>1</v>
      </c>
      <c r="Y22" s="167">
        <v>0.5</v>
      </c>
      <c r="Z22" s="109"/>
      <c r="AA22" s="109"/>
      <c r="AB22" s="109"/>
      <c r="AC22" s="109"/>
      <c r="AD22" s="109"/>
      <c r="AE22" s="109"/>
      <c r="AF22" s="109"/>
      <c r="AG22" s="109"/>
      <c r="AH22" s="109"/>
      <c r="AI22" s="109"/>
      <c r="AJ22" s="109"/>
      <c r="AK22" s="110">
        <f t="shared" ref="AK22:AK24" si="2">SUM(I22:AJ22)</f>
        <v>7</v>
      </c>
      <c r="AL22" s="111">
        <f t="shared" ref="AL22:AL24" si="3">MAX(I22:AJ22)</f>
        <v>1</v>
      </c>
      <c r="AM22" s="47"/>
    </row>
    <row r="23" spans="1:39" ht="30" x14ac:dyDescent="0.25">
      <c r="A23" s="185"/>
      <c r="B23" s="174" t="s">
        <v>25</v>
      </c>
      <c r="C23" s="175" t="s">
        <v>28</v>
      </c>
      <c r="D23" s="176" t="s">
        <v>304</v>
      </c>
      <c r="E23" s="177" t="s">
        <v>305</v>
      </c>
      <c r="F23" s="177" t="s">
        <v>29</v>
      </c>
      <c r="G23" s="178" t="s">
        <v>237</v>
      </c>
      <c r="H23" s="96"/>
      <c r="I23" s="109"/>
      <c r="J23" s="109"/>
      <c r="K23" s="109"/>
      <c r="L23" s="157"/>
      <c r="M23" s="157"/>
      <c r="N23" s="159"/>
      <c r="O23" s="159"/>
      <c r="P23" s="159"/>
      <c r="Q23" s="161"/>
      <c r="R23" s="161">
        <v>1</v>
      </c>
      <c r="S23" s="161">
        <v>1</v>
      </c>
      <c r="T23" s="163">
        <v>2</v>
      </c>
      <c r="U23" s="163">
        <v>2</v>
      </c>
      <c r="V23" s="165">
        <v>2</v>
      </c>
      <c r="W23" s="165">
        <v>2</v>
      </c>
      <c r="X23" s="167">
        <v>1</v>
      </c>
      <c r="Y23" s="167">
        <v>1</v>
      </c>
      <c r="Z23" s="109"/>
      <c r="AA23" s="109"/>
      <c r="AB23" s="109"/>
      <c r="AC23" s="109"/>
      <c r="AD23" s="109"/>
      <c r="AE23" s="109"/>
      <c r="AF23" s="109"/>
      <c r="AG23" s="109"/>
      <c r="AH23" s="109"/>
      <c r="AI23" s="109"/>
      <c r="AJ23" s="109"/>
      <c r="AK23" s="110">
        <f t="shared" si="2"/>
        <v>12</v>
      </c>
      <c r="AL23" s="111">
        <f t="shared" si="3"/>
        <v>2</v>
      </c>
      <c r="AM23" s="47"/>
    </row>
    <row r="24" spans="1:39" ht="30" x14ac:dyDescent="0.25">
      <c r="A24" s="185"/>
      <c r="B24" s="174" t="s">
        <v>25</v>
      </c>
      <c r="C24" s="175" t="s">
        <v>28</v>
      </c>
      <c r="D24" s="176" t="s">
        <v>306</v>
      </c>
      <c r="E24" s="177" t="s">
        <v>307</v>
      </c>
      <c r="F24" s="177" t="s">
        <v>29</v>
      </c>
      <c r="G24" s="178" t="s">
        <v>237</v>
      </c>
      <c r="H24" s="96"/>
      <c r="I24" s="109"/>
      <c r="J24" s="109"/>
      <c r="K24" s="109"/>
      <c r="L24" s="157"/>
      <c r="M24" s="157"/>
      <c r="N24" s="159"/>
      <c r="O24" s="159"/>
      <c r="P24" s="159"/>
      <c r="Q24" s="161"/>
      <c r="R24" s="161">
        <v>0.5</v>
      </c>
      <c r="S24" s="161">
        <v>1</v>
      </c>
      <c r="T24" s="163">
        <v>1</v>
      </c>
      <c r="U24" s="163">
        <v>1</v>
      </c>
      <c r="V24" s="165">
        <v>1</v>
      </c>
      <c r="W24" s="165">
        <v>1</v>
      </c>
      <c r="X24" s="167">
        <v>1</v>
      </c>
      <c r="Y24" s="167">
        <v>0.5</v>
      </c>
      <c r="Z24" s="109"/>
      <c r="AA24" s="109"/>
      <c r="AB24" s="109"/>
      <c r="AC24" s="109"/>
      <c r="AD24" s="109"/>
      <c r="AE24" s="109"/>
      <c r="AF24" s="109"/>
      <c r="AG24" s="109"/>
      <c r="AH24" s="109"/>
      <c r="AI24" s="109"/>
      <c r="AJ24" s="109"/>
      <c r="AK24" s="110">
        <f t="shared" si="2"/>
        <v>7</v>
      </c>
      <c r="AL24" s="111">
        <f t="shared" si="3"/>
        <v>1</v>
      </c>
      <c r="AM24" s="47"/>
    </row>
    <row r="25" spans="1:39" ht="30" x14ac:dyDescent="0.25">
      <c r="A25" s="185"/>
      <c r="B25" s="174" t="s">
        <v>25</v>
      </c>
      <c r="C25" s="175" t="s">
        <v>28</v>
      </c>
      <c r="D25" s="176" t="s">
        <v>260</v>
      </c>
      <c r="E25" s="177" t="s">
        <v>261</v>
      </c>
      <c r="F25" s="177" t="s">
        <v>29</v>
      </c>
      <c r="G25" s="178" t="s">
        <v>237</v>
      </c>
      <c r="H25" s="96" t="s">
        <v>18</v>
      </c>
      <c r="I25" s="109"/>
      <c r="J25" s="109"/>
      <c r="K25" s="109"/>
      <c r="L25" s="157"/>
      <c r="M25" s="157"/>
      <c r="N25" s="159"/>
      <c r="O25" s="159"/>
      <c r="P25" s="159"/>
      <c r="Q25" s="161"/>
      <c r="R25" s="161">
        <v>1</v>
      </c>
      <c r="S25" s="161">
        <v>2</v>
      </c>
      <c r="T25" s="163">
        <v>2</v>
      </c>
      <c r="U25" s="163">
        <v>2</v>
      </c>
      <c r="V25" s="165">
        <v>2</v>
      </c>
      <c r="W25" s="165">
        <v>1</v>
      </c>
      <c r="X25" s="167">
        <v>1</v>
      </c>
      <c r="Y25" s="167">
        <v>0.5</v>
      </c>
      <c r="Z25" s="109"/>
      <c r="AA25" s="109"/>
      <c r="AB25" s="109"/>
      <c r="AC25" s="109"/>
      <c r="AD25" s="109"/>
      <c r="AE25" s="109"/>
      <c r="AF25" s="109"/>
      <c r="AG25" s="109"/>
      <c r="AH25" s="109"/>
      <c r="AI25" s="109"/>
      <c r="AJ25" s="109"/>
      <c r="AK25" s="110">
        <f t="shared" si="0"/>
        <v>11.5</v>
      </c>
      <c r="AL25" s="111">
        <f t="shared" si="1"/>
        <v>2</v>
      </c>
      <c r="AM25" s="47"/>
    </row>
    <row r="26" spans="1:39" ht="30" x14ac:dyDescent="0.25">
      <c r="A26" s="185"/>
      <c r="B26" s="174" t="s">
        <v>25</v>
      </c>
      <c r="C26" s="175" t="s">
        <v>28</v>
      </c>
      <c r="D26" s="179" t="s">
        <v>262</v>
      </c>
      <c r="E26" s="180" t="s">
        <v>263</v>
      </c>
      <c r="F26" s="177" t="s">
        <v>29</v>
      </c>
      <c r="G26" s="178" t="s">
        <v>237</v>
      </c>
      <c r="H26" s="96" t="s">
        <v>18</v>
      </c>
      <c r="I26" s="109"/>
      <c r="J26" s="109"/>
      <c r="K26" s="109"/>
      <c r="L26" s="157"/>
      <c r="M26" s="157"/>
      <c r="N26" s="159"/>
      <c r="O26" s="159"/>
      <c r="P26" s="159"/>
      <c r="Q26" s="161"/>
      <c r="R26" s="161">
        <v>1</v>
      </c>
      <c r="S26" s="161">
        <v>1</v>
      </c>
      <c r="T26" s="163">
        <v>2</v>
      </c>
      <c r="U26" s="163">
        <v>2</v>
      </c>
      <c r="V26" s="165">
        <v>2</v>
      </c>
      <c r="W26" s="165">
        <v>1</v>
      </c>
      <c r="X26" s="167">
        <v>1</v>
      </c>
      <c r="Y26" s="167">
        <v>0.5</v>
      </c>
      <c r="Z26" s="109"/>
      <c r="AA26" s="109"/>
      <c r="AB26" s="109"/>
      <c r="AC26" s="109"/>
      <c r="AD26" s="109"/>
      <c r="AE26" s="109"/>
      <c r="AF26" s="109"/>
      <c r="AG26" s="109"/>
      <c r="AH26" s="109"/>
      <c r="AI26" s="109"/>
      <c r="AJ26" s="109"/>
      <c r="AK26" s="110">
        <f t="shared" si="0"/>
        <v>10.5</v>
      </c>
      <c r="AL26" s="111">
        <f t="shared" si="1"/>
        <v>2</v>
      </c>
      <c r="AM26" s="47"/>
    </row>
    <row r="27" spans="1:39" ht="30" x14ac:dyDescent="0.25">
      <c r="A27" s="185"/>
      <c r="B27" s="174" t="s">
        <v>25</v>
      </c>
      <c r="C27" s="175" t="s">
        <v>28</v>
      </c>
      <c r="D27" s="179" t="s">
        <v>264</v>
      </c>
      <c r="E27" s="180" t="s">
        <v>265</v>
      </c>
      <c r="F27" s="177" t="s">
        <v>29</v>
      </c>
      <c r="G27" s="178" t="s">
        <v>237</v>
      </c>
      <c r="H27" s="96" t="s">
        <v>18</v>
      </c>
      <c r="I27" s="109"/>
      <c r="J27" s="109"/>
      <c r="K27" s="109"/>
      <c r="L27" s="157"/>
      <c r="M27" s="157"/>
      <c r="N27" s="159"/>
      <c r="O27" s="159"/>
      <c r="P27" s="159"/>
      <c r="Q27" s="161"/>
      <c r="R27" s="161">
        <v>0.5</v>
      </c>
      <c r="S27" s="161">
        <v>0.5</v>
      </c>
      <c r="T27" s="163">
        <v>1</v>
      </c>
      <c r="U27" s="163">
        <v>1</v>
      </c>
      <c r="V27" s="165">
        <v>1</v>
      </c>
      <c r="W27" s="165">
        <v>1</v>
      </c>
      <c r="X27" s="167">
        <v>0.5</v>
      </c>
      <c r="Y27" s="167">
        <v>0.5</v>
      </c>
      <c r="Z27" s="109"/>
      <c r="AA27" s="109"/>
      <c r="AB27" s="109"/>
      <c r="AC27" s="109"/>
      <c r="AD27" s="109"/>
      <c r="AE27" s="109"/>
      <c r="AF27" s="109"/>
      <c r="AG27" s="109"/>
      <c r="AH27" s="109"/>
      <c r="AI27" s="109"/>
      <c r="AJ27" s="109"/>
      <c r="AK27" s="110">
        <f t="shared" si="0"/>
        <v>6</v>
      </c>
      <c r="AL27" s="111">
        <f t="shared" si="1"/>
        <v>1</v>
      </c>
      <c r="AM27" s="47"/>
    </row>
    <row r="28" spans="1:39" ht="30" x14ac:dyDescent="0.25">
      <c r="A28" s="185"/>
      <c r="B28" s="174" t="s">
        <v>25</v>
      </c>
      <c r="C28" s="175" t="s">
        <v>28</v>
      </c>
      <c r="D28" s="181" t="s">
        <v>266</v>
      </c>
      <c r="E28" s="182" t="s">
        <v>267</v>
      </c>
      <c r="F28" s="177" t="s">
        <v>29</v>
      </c>
      <c r="G28" s="178" t="s">
        <v>237</v>
      </c>
      <c r="H28" s="96" t="s">
        <v>18</v>
      </c>
      <c r="I28" s="109"/>
      <c r="J28" s="109"/>
      <c r="K28" s="109"/>
      <c r="L28" s="157"/>
      <c r="M28" s="157"/>
      <c r="N28" s="159"/>
      <c r="O28" s="159"/>
      <c r="P28" s="159"/>
      <c r="Q28" s="161"/>
      <c r="R28" s="161">
        <v>0.5</v>
      </c>
      <c r="S28" s="161">
        <v>1</v>
      </c>
      <c r="T28" s="163">
        <v>1</v>
      </c>
      <c r="U28" s="163">
        <v>1</v>
      </c>
      <c r="V28" s="165">
        <v>1</v>
      </c>
      <c r="W28" s="165">
        <v>1</v>
      </c>
      <c r="X28" s="167">
        <v>0.5</v>
      </c>
      <c r="Y28" s="167">
        <v>0.5</v>
      </c>
      <c r="Z28" s="109"/>
      <c r="AA28" s="109"/>
      <c r="AB28" s="109"/>
      <c r="AC28" s="109"/>
      <c r="AD28" s="109"/>
      <c r="AE28" s="109"/>
      <c r="AF28" s="109"/>
      <c r="AG28" s="109"/>
      <c r="AH28" s="109"/>
      <c r="AI28" s="109"/>
      <c r="AJ28" s="109"/>
      <c r="AK28" s="110">
        <f t="shared" si="0"/>
        <v>6.5</v>
      </c>
      <c r="AL28" s="111">
        <f t="shared" si="1"/>
        <v>1</v>
      </c>
      <c r="AM28" s="47"/>
    </row>
    <row r="29" spans="1:39" ht="45" x14ac:dyDescent="0.25">
      <c r="A29" s="185"/>
      <c r="B29" s="174" t="s">
        <v>25</v>
      </c>
      <c r="C29" s="175" t="s">
        <v>28</v>
      </c>
      <c r="D29" s="176" t="s">
        <v>268</v>
      </c>
      <c r="E29" s="177" t="s">
        <v>269</v>
      </c>
      <c r="F29" s="177" t="s">
        <v>29</v>
      </c>
      <c r="G29" s="178" t="s">
        <v>237</v>
      </c>
      <c r="H29" s="96" t="s">
        <v>18</v>
      </c>
      <c r="I29" s="109"/>
      <c r="J29" s="109"/>
      <c r="K29" s="109"/>
      <c r="L29" s="157"/>
      <c r="M29" s="157"/>
      <c r="N29" s="159"/>
      <c r="O29" s="159"/>
      <c r="P29" s="159"/>
      <c r="Q29" s="161"/>
      <c r="R29" s="161">
        <v>1</v>
      </c>
      <c r="S29" s="161">
        <v>1</v>
      </c>
      <c r="T29" s="163">
        <v>1.5</v>
      </c>
      <c r="U29" s="163">
        <v>1.5</v>
      </c>
      <c r="V29" s="165">
        <v>1.5</v>
      </c>
      <c r="W29" s="165">
        <v>1</v>
      </c>
      <c r="X29" s="167">
        <v>1</v>
      </c>
      <c r="Y29" s="167">
        <v>1</v>
      </c>
      <c r="Z29" s="109"/>
      <c r="AA29" s="109"/>
      <c r="AB29" s="109"/>
      <c r="AC29" s="109"/>
      <c r="AD29" s="109"/>
      <c r="AE29" s="109"/>
      <c r="AF29" s="109"/>
      <c r="AG29" s="109"/>
      <c r="AH29" s="109"/>
      <c r="AI29" s="109"/>
      <c r="AJ29" s="109"/>
      <c r="AK29" s="110">
        <f t="shared" si="0"/>
        <v>9.5</v>
      </c>
      <c r="AL29" s="111">
        <f t="shared" si="1"/>
        <v>1.5</v>
      </c>
      <c r="AM29" s="47"/>
    </row>
    <row r="30" spans="1:39" ht="30" x14ac:dyDescent="0.25">
      <c r="A30" s="185"/>
      <c r="B30" s="174" t="s">
        <v>25</v>
      </c>
      <c r="C30" s="175" t="s">
        <v>28</v>
      </c>
      <c r="D30" s="176" t="s">
        <v>270</v>
      </c>
      <c r="E30" s="177" t="s">
        <v>271</v>
      </c>
      <c r="F30" s="177" t="s">
        <v>29</v>
      </c>
      <c r="G30" s="178" t="s">
        <v>237</v>
      </c>
      <c r="H30" s="96" t="s">
        <v>18</v>
      </c>
      <c r="I30" s="109"/>
      <c r="J30" s="109"/>
      <c r="K30" s="109"/>
      <c r="L30" s="157"/>
      <c r="M30" s="157"/>
      <c r="N30" s="159"/>
      <c r="O30" s="159"/>
      <c r="P30" s="159"/>
      <c r="Q30" s="161"/>
      <c r="R30" s="161">
        <v>0.5</v>
      </c>
      <c r="S30" s="161">
        <v>0.5</v>
      </c>
      <c r="T30" s="163">
        <v>1</v>
      </c>
      <c r="U30" s="163">
        <v>1</v>
      </c>
      <c r="V30" s="165">
        <v>1</v>
      </c>
      <c r="W30" s="165">
        <v>1</v>
      </c>
      <c r="X30" s="167">
        <v>0.5</v>
      </c>
      <c r="Y30" s="167">
        <v>0.5</v>
      </c>
      <c r="Z30" s="109"/>
      <c r="AA30" s="109"/>
      <c r="AB30" s="109"/>
      <c r="AC30" s="109"/>
      <c r="AD30" s="109"/>
      <c r="AE30" s="109"/>
      <c r="AF30" s="109"/>
      <c r="AG30" s="109"/>
      <c r="AH30" s="109"/>
      <c r="AI30" s="109"/>
      <c r="AJ30" s="109"/>
      <c r="AK30" s="110">
        <f t="shared" si="0"/>
        <v>6</v>
      </c>
      <c r="AL30" s="111">
        <f t="shared" si="1"/>
        <v>1</v>
      </c>
      <c r="AM30" s="47"/>
    </row>
    <row r="31" spans="1:39" ht="30" x14ac:dyDescent="0.25">
      <c r="A31" s="185"/>
      <c r="B31" s="174" t="s">
        <v>25</v>
      </c>
      <c r="C31" s="175" t="s">
        <v>28</v>
      </c>
      <c r="D31" s="176" t="s">
        <v>272</v>
      </c>
      <c r="E31" s="177" t="s">
        <v>273</v>
      </c>
      <c r="F31" s="177" t="s">
        <v>29</v>
      </c>
      <c r="G31" s="178" t="s">
        <v>237</v>
      </c>
      <c r="H31" s="96" t="s">
        <v>18</v>
      </c>
      <c r="I31" s="109"/>
      <c r="J31" s="109"/>
      <c r="K31" s="109"/>
      <c r="L31" s="157"/>
      <c r="M31" s="157"/>
      <c r="N31" s="159"/>
      <c r="O31" s="159"/>
      <c r="P31" s="159"/>
      <c r="Q31" s="161"/>
      <c r="R31" s="161">
        <v>1</v>
      </c>
      <c r="S31" s="161">
        <v>1</v>
      </c>
      <c r="T31" s="163">
        <v>2</v>
      </c>
      <c r="U31" s="163">
        <v>2</v>
      </c>
      <c r="V31" s="165">
        <v>2</v>
      </c>
      <c r="W31" s="165">
        <v>1</v>
      </c>
      <c r="X31" s="167">
        <v>1</v>
      </c>
      <c r="Y31" s="167">
        <v>1</v>
      </c>
      <c r="Z31" s="109"/>
      <c r="AA31" s="109"/>
      <c r="AB31" s="109"/>
      <c r="AC31" s="109"/>
      <c r="AD31" s="109"/>
      <c r="AE31" s="109"/>
      <c r="AF31" s="109"/>
      <c r="AG31" s="109"/>
      <c r="AH31" s="109"/>
      <c r="AI31" s="109"/>
      <c r="AJ31" s="109"/>
      <c r="AK31" s="110">
        <f t="shared" si="0"/>
        <v>11</v>
      </c>
      <c r="AL31" s="111">
        <f t="shared" si="1"/>
        <v>2</v>
      </c>
      <c r="AM31" s="47"/>
    </row>
    <row r="32" spans="1:39" x14ac:dyDescent="0.25">
      <c r="A32" s="185"/>
      <c r="B32" s="174" t="s">
        <v>25</v>
      </c>
      <c r="C32" s="175" t="s">
        <v>28</v>
      </c>
      <c r="D32" s="176" t="s">
        <v>274</v>
      </c>
      <c r="E32" s="177" t="s">
        <v>275</v>
      </c>
      <c r="F32" s="177" t="s">
        <v>29</v>
      </c>
      <c r="G32" s="178" t="s">
        <v>237</v>
      </c>
      <c r="H32" s="96" t="s">
        <v>18</v>
      </c>
      <c r="I32" s="109"/>
      <c r="J32" s="109"/>
      <c r="K32" s="109"/>
      <c r="L32" s="157"/>
      <c r="M32" s="157"/>
      <c r="N32" s="159"/>
      <c r="O32" s="159"/>
      <c r="P32" s="159"/>
      <c r="Q32" s="161"/>
      <c r="R32" s="161">
        <v>0</v>
      </c>
      <c r="S32" s="161">
        <v>0.5</v>
      </c>
      <c r="T32" s="163">
        <v>0.5</v>
      </c>
      <c r="U32" s="163">
        <v>1</v>
      </c>
      <c r="V32" s="165">
        <v>1</v>
      </c>
      <c r="W32" s="165">
        <v>1</v>
      </c>
      <c r="X32" s="167">
        <v>1</v>
      </c>
      <c r="Y32" s="167">
        <v>1</v>
      </c>
      <c r="Z32" s="109"/>
      <c r="AA32" s="109"/>
      <c r="AB32" s="109"/>
      <c r="AC32" s="109"/>
      <c r="AD32" s="109"/>
      <c r="AE32" s="109"/>
      <c r="AF32" s="109"/>
      <c r="AG32" s="109"/>
      <c r="AH32" s="109"/>
      <c r="AI32" s="109"/>
      <c r="AJ32" s="109"/>
      <c r="AK32" s="110">
        <f t="shared" si="0"/>
        <v>6</v>
      </c>
      <c r="AL32" s="111">
        <f t="shared" si="1"/>
        <v>1</v>
      </c>
      <c r="AM32" s="47"/>
    </row>
    <row r="33" spans="1:39" ht="30" x14ac:dyDescent="0.25">
      <c r="A33" s="185"/>
      <c r="B33" s="174" t="s">
        <v>25</v>
      </c>
      <c r="C33" s="175" t="s">
        <v>28</v>
      </c>
      <c r="D33" s="176" t="s">
        <v>308</v>
      </c>
      <c r="E33" s="177" t="s">
        <v>309</v>
      </c>
      <c r="F33" s="177" t="s">
        <v>29</v>
      </c>
      <c r="G33" s="178" t="s">
        <v>237</v>
      </c>
      <c r="H33" s="96"/>
      <c r="I33" s="109"/>
      <c r="J33" s="109"/>
      <c r="K33" s="109"/>
      <c r="L33" s="157"/>
      <c r="M33" s="157"/>
      <c r="N33" s="159"/>
      <c r="O33" s="159"/>
      <c r="P33" s="159"/>
      <c r="Q33" s="161"/>
      <c r="R33" s="161">
        <v>1</v>
      </c>
      <c r="S33" s="161">
        <v>1</v>
      </c>
      <c r="T33" s="163">
        <v>2</v>
      </c>
      <c r="U33" s="163">
        <v>3</v>
      </c>
      <c r="V33" s="165">
        <v>3</v>
      </c>
      <c r="W33" s="165">
        <v>3</v>
      </c>
      <c r="X33" s="167">
        <v>3</v>
      </c>
      <c r="Y33" s="167">
        <v>3</v>
      </c>
      <c r="Z33" s="109"/>
      <c r="AA33" s="109"/>
      <c r="AB33" s="109"/>
      <c r="AC33" s="109"/>
      <c r="AD33" s="109"/>
      <c r="AE33" s="109"/>
      <c r="AF33" s="109"/>
      <c r="AG33" s="109"/>
      <c r="AH33" s="109"/>
      <c r="AI33" s="109"/>
      <c r="AJ33" s="109"/>
      <c r="AK33" s="110">
        <f t="shared" ref="AK33" si="4">SUM(I33:AJ33)</f>
        <v>19</v>
      </c>
      <c r="AL33" s="111">
        <f t="shared" ref="AL33" si="5">MAX(I33:AJ33)</f>
        <v>3</v>
      </c>
      <c r="AM33" s="47"/>
    </row>
    <row r="34" spans="1:39" ht="30" x14ac:dyDescent="0.25">
      <c r="A34" s="185"/>
      <c r="B34" s="174" t="s">
        <v>25</v>
      </c>
      <c r="C34" s="175" t="s">
        <v>28</v>
      </c>
      <c r="D34" s="176" t="s">
        <v>234</v>
      </c>
      <c r="E34" s="177" t="s">
        <v>276</v>
      </c>
      <c r="F34" s="177" t="s">
        <v>29</v>
      </c>
      <c r="G34" s="178" t="s">
        <v>237</v>
      </c>
      <c r="H34" s="96" t="s">
        <v>18</v>
      </c>
      <c r="I34" s="109"/>
      <c r="J34" s="109"/>
      <c r="K34" s="109"/>
      <c r="L34" s="157"/>
      <c r="M34" s="157"/>
      <c r="N34" s="159"/>
      <c r="O34" s="159"/>
      <c r="P34" s="159"/>
      <c r="Q34" s="161"/>
      <c r="R34" s="161">
        <v>0.5</v>
      </c>
      <c r="S34" s="161">
        <v>0.5</v>
      </c>
      <c r="T34" s="163">
        <v>1</v>
      </c>
      <c r="U34" s="163">
        <v>1</v>
      </c>
      <c r="V34" s="165">
        <v>1</v>
      </c>
      <c r="W34" s="165">
        <v>1</v>
      </c>
      <c r="X34" s="167">
        <v>0.5</v>
      </c>
      <c r="Y34" s="167">
        <v>0.5</v>
      </c>
      <c r="Z34" s="109"/>
      <c r="AA34" s="109"/>
      <c r="AB34" s="109"/>
      <c r="AC34" s="109"/>
      <c r="AD34" s="109"/>
      <c r="AE34" s="109"/>
      <c r="AF34" s="109"/>
      <c r="AG34" s="109"/>
      <c r="AH34" s="109"/>
      <c r="AI34" s="109"/>
      <c r="AJ34" s="109"/>
      <c r="AK34" s="110">
        <f t="shared" si="0"/>
        <v>6</v>
      </c>
      <c r="AL34" s="111">
        <f t="shared" si="1"/>
        <v>1</v>
      </c>
      <c r="AM34" s="47"/>
    </row>
    <row r="35" spans="1:39" x14ac:dyDescent="0.25">
      <c r="A35" s="185"/>
      <c r="B35" s="174" t="s">
        <v>25</v>
      </c>
      <c r="C35" s="175" t="s">
        <v>28</v>
      </c>
      <c r="D35" s="176" t="s">
        <v>277</v>
      </c>
      <c r="E35" s="177" t="s">
        <v>278</v>
      </c>
      <c r="F35" s="177" t="s">
        <v>29</v>
      </c>
      <c r="G35" s="178" t="s">
        <v>237</v>
      </c>
      <c r="H35" s="96" t="s">
        <v>18</v>
      </c>
      <c r="I35" s="109"/>
      <c r="J35" s="109"/>
      <c r="K35" s="109"/>
      <c r="L35" s="157">
        <v>0.5</v>
      </c>
      <c r="M35" s="157">
        <v>0.5</v>
      </c>
      <c r="N35" s="159">
        <v>0.5</v>
      </c>
      <c r="O35" s="159">
        <v>0.5</v>
      </c>
      <c r="P35" s="159">
        <v>0.5</v>
      </c>
      <c r="Q35" s="161">
        <v>0.5</v>
      </c>
      <c r="R35" s="161">
        <v>0.5</v>
      </c>
      <c r="S35" s="161">
        <v>0.5</v>
      </c>
      <c r="T35" s="163">
        <v>0.5</v>
      </c>
      <c r="U35" s="163">
        <v>0.5</v>
      </c>
      <c r="V35" s="165">
        <v>0.5</v>
      </c>
      <c r="W35" s="165">
        <v>0.5</v>
      </c>
      <c r="X35" s="167">
        <v>0.5</v>
      </c>
      <c r="Y35" s="167">
        <v>0.5</v>
      </c>
      <c r="Z35" s="109"/>
      <c r="AA35" s="109"/>
      <c r="AB35" s="109"/>
      <c r="AC35" s="109"/>
      <c r="AD35" s="109"/>
      <c r="AE35" s="109"/>
      <c r="AF35" s="109"/>
      <c r="AG35" s="109"/>
      <c r="AH35" s="109"/>
      <c r="AI35" s="109"/>
      <c r="AJ35" s="109"/>
      <c r="AK35" s="110">
        <f t="shared" si="0"/>
        <v>7</v>
      </c>
      <c r="AL35" s="111">
        <f t="shared" si="1"/>
        <v>0.5</v>
      </c>
      <c r="AM35" s="47"/>
    </row>
    <row r="36" spans="1:39" x14ac:dyDescent="0.25">
      <c r="A36" s="185"/>
      <c r="B36" s="169" t="s">
        <v>25</v>
      </c>
      <c r="C36" s="170" t="s">
        <v>28</v>
      </c>
      <c r="D36" s="183" t="s">
        <v>280</v>
      </c>
      <c r="E36" s="184" t="s">
        <v>312</v>
      </c>
      <c r="F36" s="172" t="s">
        <v>29</v>
      </c>
      <c r="G36" s="173" t="s">
        <v>284</v>
      </c>
      <c r="H36" s="96" t="s">
        <v>18</v>
      </c>
      <c r="I36" s="109"/>
      <c r="J36" s="109"/>
      <c r="K36" s="109"/>
      <c r="L36" s="157"/>
      <c r="M36" s="157"/>
      <c r="N36" s="159"/>
      <c r="O36" s="159"/>
      <c r="P36" s="159"/>
      <c r="Q36" s="161"/>
      <c r="R36" s="161"/>
      <c r="S36" s="161">
        <v>2</v>
      </c>
      <c r="T36" s="163">
        <v>4</v>
      </c>
      <c r="U36" s="163">
        <v>5</v>
      </c>
      <c r="V36" s="165">
        <v>5</v>
      </c>
      <c r="W36" s="165">
        <v>4</v>
      </c>
      <c r="X36" s="167">
        <v>2</v>
      </c>
      <c r="Y36" s="167">
        <v>2</v>
      </c>
      <c r="Z36" s="109"/>
      <c r="AA36" s="109"/>
      <c r="AB36" s="109"/>
      <c r="AC36" s="109"/>
      <c r="AD36" s="109"/>
      <c r="AE36" s="109"/>
      <c r="AF36" s="109"/>
      <c r="AG36" s="109"/>
      <c r="AH36" s="109"/>
      <c r="AI36" s="109"/>
      <c r="AJ36" s="109"/>
      <c r="AK36" s="110">
        <f t="shared" si="0"/>
        <v>24</v>
      </c>
      <c r="AL36" s="111">
        <f t="shared" si="1"/>
        <v>5</v>
      </c>
      <c r="AM36" s="47"/>
    </row>
    <row r="37" spans="1:39" x14ac:dyDescent="0.25">
      <c r="A37" s="185"/>
      <c r="B37" s="174" t="s">
        <v>25</v>
      </c>
      <c r="C37" s="175" t="s">
        <v>28</v>
      </c>
      <c r="D37" s="176" t="s">
        <v>282</v>
      </c>
      <c r="E37" s="177" t="s">
        <v>283</v>
      </c>
      <c r="F37" s="177" t="s">
        <v>22</v>
      </c>
      <c r="G37" s="178" t="s">
        <v>284</v>
      </c>
      <c r="H37" s="96" t="s">
        <v>18</v>
      </c>
      <c r="I37" s="109"/>
      <c r="J37" s="109"/>
      <c r="K37" s="109"/>
      <c r="L37" s="157"/>
      <c r="M37" s="157"/>
      <c r="N37" s="159"/>
      <c r="O37" s="159"/>
      <c r="P37" s="159"/>
      <c r="Q37" s="161"/>
      <c r="R37" s="161">
        <v>0.1</v>
      </c>
      <c r="S37" s="161">
        <v>0.2</v>
      </c>
      <c r="T37" s="163">
        <v>0.2</v>
      </c>
      <c r="U37" s="163">
        <v>0.1</v>
      </c>
      <c r="V37" s="165">
        <v>0.1</v>
      </c>
      <c r="W37" s="165">
        <v>0.1</v>
      </c>
      <c r="X37" s="167">
        <v>0.1</v>
      </c>
      <c r="Y37" s="167">
        <v>0.1</v>
      </c>
      <c r="Z37" s="109"/>
      <c r="AA37" s="109"/>
      <c r="AB37" s="109"/>
      <c r="AC37" s="109"/>
      <c r="AD37" s="109"/>
      <c r="AE37" s="109"/>
      <c r="AF37" s="109"/>
      <c r="AG37" s="109"/>
      <c r="AH37" s="109"/>
      <c r="AI37" s="109"/>
      <c r="AJ37" s="109"/>
      <c r="AK37" s="110">
        <f t="shared" si="0"/>
        <v>0.99999999999999989</v>
      </c>
      <c r="AL37" s="111">
        <f t="shared" si="1"/>
        <v>0.2</v>
      </c>
      <c r="AM37" s="47"/>
    </row>
    <row r="38" spans="1:39" x14ac:dyDescent="0.25">
      <c r="A38" s="50"/>
      <c r="B38" s="51"/>
      <c r="C38" s="53"/>
      <c r="D38" s="83"/>
      <c r="E38" s="83"/>
      <c r="F38" s="83"/>
      <c r="G38" s="52"/>
      <c r="H38" s="96"/>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10">
        <f t="shared" si="0"/>
        <v>0</v>
      </c>
      <c r="AL38" s="111">
        <f t="shared" si="1"/>
        <v>0</v>
      </c>
      <c r="AM38" s="47"/>
    </row>
    <row r="39" spans="1:39" x14ac:dyDescent="0.25">
      <c r="A39" s="50"/>
      <c r="B39" s="51"/>
      <c r="C39" s="53"/>
      <c r="D39" s="83"/>
      <c r="E39" s="83"/>
      <c r="F39" s="83"/>
      <c r="G39" s="52"/>
      <c r="H39" s="96"/>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10">
        <f t="shared" si="0"/>
        <v>0</v>
      </c>
      <c r="AL39" s="111">
        <f t="shared" si="1"/>
        <v>0</v>
      </c>
      <c r="AM39" s="47"/>
    </row>
    <row r="40" spans="1:39" x14ac:dyDescent="0.25">
      <c r="A40" s="50"/>
      <c r="B40" s="51"/>
      <c r="C40" s="53"/>
      <c r="D40" s="83"/>
      <c r="E40" s="83"/>
      <c r="F40" s="83"/>
      <c r="G40" s="52"/>
      <c r="H40" s="96"/>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10">
        <f t="shared" si="0"/>
        <v>0</v>
      </c>
      <c r="AL40" s="111">
        <f t="shared" si="1"/>
        <v>0</v>
      </c>
      <c r="AM40" s="47"/>
    </row>
    <row r="41" spans="1:39" x14ac:dyDescent="0.25">
      <c r="A41" s="50"/>
      <c r="B41" s="51"/>
      <c r="C41" s="53"/>
      <c r="D41" s="83"/>
      <c r="E41" s="83"/>
      <c r="F41" s="83"/>
      <c r="G41" s="52"/>
      <c r="H41" s="96"/>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10">
        <f t="shared" si="0"/>
        <v>0</v>
      </c>
      <c r="AL41" s="111">
        <f t="shared" si="1"/>
        <v>0</v>
      </c>
      <c r="AM41" s="47"/>
    </row>
    <row r="42" spans="1:39" x14ac:dyDescent="0.25">
      <c r="A42" s="50"/>
      <c r="B42" s="51"/>
      <c r="C42" s="53"/>
      <c r="D42" s="83"/>
      <c r="E42" s="83"/>
      <c r="F42" s="83"/>
      <c r="G42" s="52"/>
      <c r="H42" s="96"/>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10">
        <f t="shared" si="0"/>
        <v>0</v>
      </c>
      <c r="AL42" s="111">
        <f t="shared" si="1"/>
        <v>0</v>
      </c>
      <c r="AM42" s="47"/>
    </row>
    <row r="43" spans="1:39" x14ac:dyDescent="0.25">
      <c r="A43" s="50"/>
      <c r="B43" s="51"/>
      <c r="C43" s="53"/>
      <c r="D43" s="83"/>
      <c r="E43" s="83"/>
      <c r="F43" s="83"/>
      <c r="G43" s="52"/>
      <c r="H43" s="96"/>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10">
        <f t="shared" si="0"/>
        <v>0</v>
      </c>
      <c r="AL43" s="111">
        <f t="shared" si="1"/>
        <v>0</v>
      </c>
      <c r="AM43" s="47"/>
    </row>
    <row r="44" spans="1:39" x14ac:dyDescent="0.25">
      <c r="A44" s="50" t="str" cm="1">
        <f t="array" aca="1" ref="A44" ca="1">IFERROR(IF(#REF!&gt;0,IF(_xlfn.XLOOKUP(G44,INDIRECT(B44),INDIRECT(B44),"NO")="NO","",_xlfn.XLOOKUP($C44,LUT!$B$3:$B$200,LUT!$D$3:$D$200,"")&amp;""),""),"")</f>
        <v/>
      </c>
      <c r="B44" s="51"/>
      <c r="C44" s="53"/>
      <c r="D44" s="83"/>
      <c r="E44" s="83"/>
      <c r="F44" s="83"/>
      <c r="G44" s="52"/>
      <c r="H44" s="96"/>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10">
        <f t="shared" si="0"/>
        <v>0</v>
      </c>
      <c r="AL44" s="111">
        <f t="shared" si="1"/>
        <v>0</v>
      </c>
      <c r="AM44" s="47"/>
    </row>
    <row r="45" spans="1:39" x14ac:dyDescent="0.25">
      <c r="A45" s="50" t="str" cm="1">
        <f t="array" aca="1" ref="A45" ca="1">IFERROR(IF(#REF!&gt;0,IF(_xlfn.XLOOKUP(G45,INDIRECT(B45),INDIRECT(B45),"NO")="NO","",_xlfn.XLOOKUP($C45,LUT!$B$3:$B$200,LUT!$D$3:$D$200,"")&amp;""),""),"")</f>
        <v/>
      </c>
      <c r="B45" s="51"/>
      <c r="C45" s="53"/>
      <c r="D45" s="83"/>
      <c r="E45" s="83"/>
      <c r="F45" s="83"/>
      <c r="G45" s="52"/>
      <c r="H45" s="96"/>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10">
        <f t="shared" si="0"/>
        <v>0</v>
      </c>
      <c r="AL45" s="111">
        <f t="shared" si="1"/>
        <v>0</v>
      </c>
      <c r="AM45" s="47"/>
    </row>
    <row r="46" spans="1:39" x14ac:dyDescent="0.25">
      <c r="A46" s="50" t="str" cm="1">
        <f t="array" aca="1" ref="A46" ca="1">IFERROR(IF(#REF!&gt;0,IF(_xlfn.XLOOKUP(G46,INDIRECT(B46),INDIRECT(B46),"NO")="NO","",_xlfn.XLOOKUP($C46,LUT!$B$3:$B$200,LUT!$D$3:$D$200,"")&amp;""),""),"")</f>
        <v/>
      </c>
      <c r="B46" s="51"/>
      <c r="C46" s="53"/>
      <c r="D46" s="83"/>
      <c r="E46" s="83"/>
      <c r="F46" s="83"/>
      <c r="G46" s="52"/>
      <c r="H46" s="96"/>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10">
        <f t="shared" si="0"/>
        <v>0</v>
      </c>
      <c r="AL46" s="111">
        <f t="shared" si="1"/>
        <v>0</v>
      </c>
      <c r="AM46" s="47"/>
    </row>
    <row r="47" spans="1:39" x14ac:dyDescent="0.25">
      <c r="A47" s="50" t="str" cm="1">
        <f t="array" aca="1" ref="A47" ca="1">IFERROR(IF(#REF!&gt;0,IF(_xlfn.XLOOKUP(G47,INDIRECT(B47),INDIRECT(B47),"NO")="NO","",_xlfn.XLOOKUP($C47,LUT!$B$3:$B$200,LUT!$D$3:$D$200,"")&amp;""),""),"")</f>
        <v/>
      </c>
      <c r="B47" s="51"/>
      <c r="C47" s="53"/>
      <c r="D47" s="83"/>
      <c r="E47" s="83"/>
      <c r="F47" s="83"/>
      <c r="G47" s="52"/>
      <c r="H47" s="96"/>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10">
        <f t="shared" si="0"/>
        <v>0</v>
      </c>
      <c r="AL47" s="111">
        <f t="shared" si="1"/>
        <v>0</v>
      </c>
      <c r="AM47" s="47"/>
    </row>
    <row r="48" spans="1:39" x14ac:dyDescent="0.25">
      <c r="A48" s="50" t="str" cm="1">
        <f t="array" aca="1" ref="A48" ca="1">IFERROR(IF(#REF!&gt;0,IF(_xlfn.XLOOKUP(G48,INDIRECT(B48),INDIRECT(B48),"NO")="NO","",_xlfn.XLOOKUP($C48,LUT!$B$3:$B$200,LUT!$D$3:$D$200,"")&amp;""),""),"")</f>
        <v/>
      </c>
      <c r="B48" s="51"/>
      <c r="C48" s="53"/>
      <c r="D48" s="83"/>
      <c r="E48" s="83"/>
      <c r="F48" s="83"/>
      <c r="G48" s="52"/>
      <c r="H48" s="96"/>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10">
        <f t="shared" si="0"/>
        <v>0</v>
      </c>
      <c r="AL48" s="111">
        <f t="shared" si="1"/>
        <v>0</v>
      </c>
      <c r="AM48" s="47"/>
    </row>
    <row r="49" spans="1:39" x14ac:dyDescent="0.25">
      <c r="A49" s="50" t="str" cm="1">
        <f t="array" aca="1" ref="A49" ca="1">IFERROR(IF(#REF!&gt;0,IF(_xlfn.XLOOKUP(G49,INDIRECT(B49),INDIRECT(B49),"NO")="NO","",_xlfn.XLOOKUP($C49,LUT!$B$3:$B$200,LUT!$D$3:$D$200,"")&amp;""),""),"")</f>
        <v/>
      </c>
      <c r="B49" s="51"/>
      <c r="C49" s="53"/>
      <c r="D49" s="83"/>
      <c r="E49" s="83"/>
      <c r="F49" s="83"/>
      <c r="G49" s="52"/>
      <c r="H49" s="96"/>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10">
        <f t="shared" si="0"/>
        <v>0</v>
      </c>
      <c r="AL49" s="111">
        <f t="shared" si="1"/>
        <v>0</v>
      </c>
      <c r="AM49" s="47"/>
    </row>
    <row r="50" spans="1:39" x14ac:dyDescent="0.25">
      <c r="A50" s="50" t="str" cm="1">
        <f t="array" aca="1" ref="A50" ca="1">IFERROR(IF(#REF!&gt;0,IF(_xlfn.XLOOKUP(G50,INDIRECT(B50),INDIRECT(B50),"NO")="NO","",_xlfn.XLOOKUP($C50,LUT!$B$3:$B$200,LUT!$D$3:$D$200,"")&amp;""),""),"")</f>
        <v/>
      </c>
      <c r="B50" s="51"/>
      <c r="C50" s="53"/>
      <c r="D50" s="83"/>
      <c r="E50" s="83"/>
      <c r="F50" s="83"/>
      <c r="G50" s="52"/>
      <c r="H50" s="96"/>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10">
        <f t="shared" si="0"/>
        <v>0</v>
      </c>
      <c r="AL50" s="111">
        <f t="shared" si="1"/>
        <v>0</v>
      </c>
      <c r="AM50" s="47"/>
    </row>
    <row r="51" spans="1:39" x14ac:dyDescent="0.25">
      <c r="A51" s="50" t="str" cm="1">
        <f t="array" aca="1" ref="A51" ca="1">IFERROR(IF(#REF!&gt;0,IF(_xlfn.XLOOKUP(G51,INDIRECT(B51),INDIRECT(B51),"NO")="NO","",_xlfn.XLOOKUP($C51,LUT!$B$3:$B$200,LUT!$D$3:$D$200,"")&amp;""),""),"")</f>
        <v/>
      </c>
      <c r="B51" s="51"/>
      <c r="C51" s="53"/>
      <c r="D51" s="83"/>
      <c r="E51" s="83"/>
      <c r="F51" s="83"/>
      <c r="G51" s="52"/>
      <c r="H51" s="96"/>
      <c r="I51" s="109"/>
      <c r="J51" s="109"/>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10">
        <f t="shared" si="0"/>
        <v>0</v>
      </c>
      <c r="AL51" s="111">
        <f t="shared" si="1"/>
        <v>0</v>
      </c>
      <c r="AM51" s="47"/>
    </row>
    <row r="52" spans="1:39" x14ac:dyDescent="0.25">
      <c r="A52" s="50" t="str" cm="1">
        <f t="array" aca="1" ref="A52" ca="1">IFERROR(IF(#REF!&gt;0,IF(_xlfn.XLOOKUP(G52,INDIRECT(B52),INDIRECT(B52),"NO")="NO","",_xlfn.XLOOKUP($C52,LUT!$B$3:$B$200,LUT!$D$3:$D$200,"")&amp;""),""),"")</f>
        <v/>
      </c>
      <c r="B52" s="51"/>
      <c r="C52" s="53"/>
      <c r="D52" s="83"/>
      <c r="E52" s="83"/>
      <c r="F52" s="83"/>
      <c r="G52" s="52"/>
      <c r="H52" s="96"/>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10">
        <f t="shared" si="0"/>
        <v>0</v>
      </c>
      <c r="AL52" s="111">
        <f t="shared" si="1"/>
        <v>0</v>
      </c>
      <c r="AM52" s="47"/>
    </row>
    <row r="53" spans="1:39" x14ac:dyDescent="0.25">
      <c r="A53" s="50" t="str" cm="1">
        <f t="array" aca="1" ref="A53" ca="1">IFERROR(IF(#REF!&gt;0,IF(_xlfn.XLOOKUP(G53,INDIRECT(B53),INDIRECT(B53),"NO")="NO","",_xlfn.XLOOKUP($C53,LUT!$B$3:$B$200,LUT!$D$3:$D$200,"")&amp;""),""),"")</f>
        <v/>
      </c>
      <c r="B53" s="51"/>
      <c r="C53" s="53"/>
      <c r="D53" s="83"/>
      <c r="E53" s="83"/>
      <c r="F53" s="83"/>
      <c r="G53" s="52"/>
      <c r="H53" s="96"/>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10">
        <f t="shared" si="0"/>
        <v>0</v>
      </c>
      <c r="AL53" s="111">
        <f t="shared" si="1"/>
        <v>0</v>
      </c>
      <c r="AM53" s="47"/>
    </row>
    <row r="54" spans="1:39" x14ac:dyDescent="0.25">
      <c r="A54" s="50" t="str" cm="1">
        <f t="array" aca="1" ref="A54" ca="1">IFERROR(IF(#REF!&gt;0,IF(_xlfn.XLOOKUP(G54,INDIRECT(B54),INDIRECT(B54),"NO")="NO","",_xlfn.XLOOKUP($C54,LUT!$B$3:$B$200,LUT!$D$3:$D$200,"")&amp;""),""),"")</f>
        <v/>
      </c>
      <c r="B54" s="51"/>
      <c r="C54" s="53"/>
      <c r="D54" s="83"/>
      <c r="E54" s="83"/>
      <c r="F54" s="83"/>
      <c r="G54" s="52"/>
      <c r="H54" s="96"/>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10">
        <f t="shared" si="0"/>
        <v>0</v>
      </c>
      <c r="AL54" s="111">
        <f t="shared" si="1"/>
        <v>0</v>
      </c>
      <c r="AM54" s="47"/>
    </row>
    <row r="55" spans="1:39" x14ac:dyDescent="0.25">
      <c r="A55" s="50" t="str" cm="1">
        <f t="array" aca="1" ref="A55" ca="1">IFERROR(IF(#REF!&gt;0,IF(_xlfn.XLOOKUP(G55,INDIRECT(B55),INDIRECT(B55),"NO")="NO","",_xlfn.XLOOKUP($C55,LUT!$B$3:$B$200,LUT!$D$3:$D$200,"")&amp;""),""),"")</f>
        <v/>
      </c>
      <c r="B55" s="51"/>
      <c r="C55" s="53"/>
      <c r="D55" s="83"/>
      <c r="E55" s="83"/>
      <c r="F55" s="83"/>
      <c r="G55" s="52"/>
      <c r="H55" s="96"/>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10">
        <f t="shared" si="0"/>
        <v>0</v>
      </c>
      <c r="AL55" s="111">
        <f t="shared" si="1"/>
        <v>0</v>
      </c>
      <c r="AM55" s="47"/>
    </row>
    <row r="56" spans="1:39" x14ac:dyDescent="0.25">
      <c r="A56" s="50" t="str" cm="1">
        <f t="array" aca="1" ref="A56" ca="1">IFERROR(IF(#REF!&gt;0,IF(_xlfn.XLOOKUP(G56,INDIRECT(B56),INDIRECT(B56),"NO")="NO","",_xlfn.XLOOKUP($C56,LUT!$B$3:$B$200,LUT!$D$3:$D$200,"")&amp;""),""),"")</f>
        <v/>
      </c>
      <c r="B56" s="51"/>
      <c r="C56" s="53"/>
      <c r="D56" s="83"/>
      <c r="E56" s="83"/>
      <c r="F56" s="83"/>
      <c r="G56" s="52"/>
      <c r="H56" s="96"/>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10">
        <f t="shared" si="0"/>
        <v>0</v>
      </c>
      <c r="AL56" s="111">
        <f t="shared" si="1"/>
        <v>0</v>
      </c>
      <c r="AM56" s="47"/>
    </row>
    <row r="57" spans="1:39" x14ac:dyDescent="0.25">
      <c r="A57" s="50" t="str" cm="1">
        <f t="array" aca="1" ref="A57" ca="1">IFERROR(IF(#REF!&gt;0,IF(_xlfn.XLOOKUP(G57,INDIRECT(B57),INDIRECT(B57),"NO")="NO","",_xlfn.XLOOKUP($C57,LUT!$B$3:$B$200,LUT!$D$3:$D$200,"")&amp;""),""),"")</f>
        <v/>
      </c>
      <c r="B57" s="51"/>
      <c r="C57" s="53"/>
      <c r="D57" s="83"/>
      <c r="E57" s="83"/>
      <c r="F57" s="83"/>
      <c r="G57" s="52"/>
      <c r="H57" s="96"/>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10">
        <f t="shared" si="0"/>
        <v>0</v>
      </c>
      <c r="AL57" s="111">
        <f t="shared" si="1"/>
        <v>0</v>
      </c>
      <c r="AM57" s="47"/>
    </row>
    <row r="58" spans="1:39" x14ac:dyDescent="0.25">
      <c r="A58" s="50" t="str" cm="1">
        <f t="array" aca="1" ref="A58" ca="1">IFERROR(IF(#REF!&gt;0,IF(_xlfn.XLOOKUP(G58,INDIRECT(B58),INDIRECT(B58),"NO")="NO","",_xlfn.XLOOKUP($C58,LUT!$B$3:$B$200,LUT!$D$3:$D$200,"")&amp;""),""),"")</f>
        <v/>
      </c>
      <c r="B58" s="51"/>
      <c r="C58" s="53"/>
      <c r="D58" s="83"/>
      <c r="E58" s="83"/>
      <c r="F58" s="83"/>
      <c r="G58" s="52"/>
      <c r="H58" s="96"/>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10">
        <f t="shared" si="0"/>
        <v>0</v>
      </c>
      <c r="AL58" s="111">
        <f t="shared" si="1"/>
        <v>0</v>
      </c>
      <c r="AM58" s="47"/>
    </row>
    <row r="59" spans="1:39" x14ac:dyDescent="0.25">
      <c r="A59" s="50" t="str" cm="1">
        <f t="array" aca="1" ref="A59" ca="1">IFERROR(IF(#REF!&gt;0,IF(_xlfn.XLOOKUP(G59,INDIRECT(B59),INDIRECT(B59),"NO")="NO","",_xlfn.XLOOKUP($C59,LUT!$B$3:$B$200,LUT!$D$3:$D$200,"")&amp;""),""),"")</f>
        <v/>
      </c>
      <c r="B59" s="51"/>
      <c r="C59" s="53"/>
      <c r="D59" s="83"/>
      <c r="E59" s="83"/>
      <c r="F59" s="83"/>
      <c r="G59" s="52"/>
      <c r="H59" s="96"/>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10">
        <f t="shared" si="0"/>
        <v>0</v>
      </c>
      <c r="AL59" s="111">
        <f t="shared" si="1"/>
        <v>0</v>
      </c>
      <c r="AM59" s="47"/>
    </row>
    <row r="60" spans="1:39" x14ac:dyDescent="0.25">
      <c r="A60" s="50" t="str" cm="1">
        <f t="array" aca="1" ref="A60" ca="1">IFERROR(IF(#REF!&gt;0,IF(_xlfn.XLOOKUP(G60,INDIRECT(B60),INDIRECT(B60),"NO")="NO","",_xlfn.XLOOKUP($C60,LUT!$B$3:$B$200,LUT!$D$3:$D$200,"")&amp;""),""),"")</f>
        <v/>
      </c>
      <c r="B60" s="51"/>
      <c r="C60" s="53"/>
      <c r="D60" s="83"/>
      <c r="E60" s="83"/>
      <c r="F60" s="83"/>
      <c r="G60" s="52"/>
      <c r="H60" s="96"/>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10">
        <f t="shared" si="0"/>
        <v>0</v>
      </c>
      <c r="AL60" s="111">
        <f t="shared" si="1"/>
        <v>0</v>
      </c>
      <c r="AM60" s="47"/>
    </row>
    <row r="61" spans="1:39" x14ac:dyDescent="0.25">
      <c r="A61" s="50" t="str" cm="1">
        <f t="array" aca="1" ref="A61" ca="1">IFERROR(IF(#REF!&gt;0,IF(_xlfn.XLOOKUP(G61,INDIRECT(B61),INDIRECT(B61),"NO")="NO","",_xlfn.XLOOKUP($C61,LUT!$B$3:$B$200,LUT!$D$3:$D$200,"")&amp;""),""),"")</f>
        <v/>
      </c>
      <c r="B61" s="51"/>
      <c r="C61" s="53"/>
      <c r="D61" s="83"/>
      <c r="E61" s="83"/>
      <c r="F61" s="83"/>
      <c r="G61" s="52"/>
      <c r="H61" s="96"/>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10">
        <f t="shared" si="0"/>
        <v>0</v>
      </c>
      <c r="AL61" s="111">
        <f t="shared" si="1"/>
        <v>0</v>
      </c>
      <c r="AM61" s="47"/>
    </row>
    <row r="62" spans="1:39" x14ac:dyDescent="0.25">
      <c r="A62" s="50" t="str" cm="1">
        <f t="array" aca="1" ref="A62" ca="1">IFERROR(IF(#REF!&gt;0,IF(_xlfn.XLOOKUP(G62,INDIRECT(B62),INDIRECT(B62),"NO")="NO","",_xlfn.XLOOKUP($C62,LUT!$B$3:$B$200,LUT!$D$3:$D$200,"")&amp;""),""),"")</f>
        <v/>
      </c>
      <c r="B62" s="51"/>
      <c r="C62" s="53"/>
      <c r="D62" s="83"/>
      <c r="E62" s="83"/>
      <c r="F62" s="83"/>
      <c r="G62" s="52"/>
      <c r="H62" s="96"/>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10">
        <f t="shared" si="0"/>
        <v>0</v>
      </c>
      <c r="AL62" s="111">
        <f t="shared" si="1"/>
        <v>0</v>
      </c>
      <c r="AM62" s="47"/>
    </row>
    <row r="63" spans="1:39" x14ac:dyDescent="0.25">
      <c r="A63" s="50" t="str" cm="1">
        <f t="array" aca="1" ref="A63" ca="1">IFERROR(IF(#REF!&gt;0,IF(_xlfn.XLOOKUP(G63,INDIRECT(B63),INDIRECT(B63),"NO")="NO","",_xlfn.XLOOKUP($C63,LUT!$B$3:$B$200,LUT!$D$3:$D$200,"")&amp;""),""),"")</f>
        <v/>
      </c>
      <c r="B63" s="51"/>
      <c r="C63" s="53"/>
      <c r="D63" s="83"/>
      <c r="E63" s="83"/>
      <c r="F63" s="83"/>
      <c r="G63" s="52"/>
      <c r="H63" s="96"/>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10">
        <f t="shared" si="0"/>
        <v>0</v>
      </c>
      <c r="AL63" s="111">
        <f t="shared" si="1"/>
        <v>0</v>
      </c>
      <c r="AM63" s="47"/>
    </row>
    <row r="64" spans="1:39" x14ac:dyDescent="0.25">
      <c r="A64" s="50" t="str" cm="1">
        <f t="array" aca="1" ref="A64" ca="1">IFERROR(IF(#REF!&gt;0,IF(_xlfn.XLOOKUP(G64,INDIRECT(B64),INDIRECT(B64),"NO")="NO","",_xlfn.XLOOKUP($C64,LUT!$B$3:$B$200,LUT!$D$3:$D$200,"")&amp;""),""),"")</f>
        <v/>
      </c>
      <c r="B64" s="51"/>
      <c r="C64" s="53"/>
      <c r="D64" s="83"/>
      <c r="E64" s="83"/>
      <c r="F64" s="83"/>
      <c r="G64" s="52"/>
      <c r="H64" s="96"/>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10">
        <f t="shared" si="0"/>
        <v>0</v>
      </c>
      <c r="AL64" s="111">
        <f t="shared" si="1"/>
        <v>0</v>
      </c>
      <c r="AM64" s="47"/>
    </row>
    <row r="65" spans="1:39" ht="14.25" customHeight="1" x14ac:dyDescent="0.25">
      <c r="A65" s="50" t="str" cm="1">
        <f t="array" aca="1" ref="A65" ca="1">IFERROR(IF(#REF!&gt;0,IF(_xlfn.XLOOKUP(G65,INDIRECT(B65),INDIRECT(B65),"NO")="NO","",_xlfn.XLOOKUP($C65,LUT!$B$3:$B$200,LUT!$D$3:$D$200,"")&amp;""),""),"")</f>
        <v/>
      </c>
      <c r="B65" s="51"/>
      <c r="C65" s="53"/>
      <c r="D65" s="83"/>
      <c r="E65" s="83"/>
      <c r="F65" s="83"/>
      <c r="G65" s="52"/>
      <c r="H65" s="96"/>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10">
        <f t="shared" si="0"/>
        <v>0</v>
      </c>
      <c r="AL65" s="111">
        <f t="shared" si="1"/>
        <v>0</v>
      </c>
      <c r="AM65" s="47"/>
    </row>
    <row r="66" spans="1:39" x14ac:dyDescent="0.25">
      <c r="A66" s="50" t="str" cm="1">
        <f t="array" aca="1" ref="A66" ca="1">IFERROR(IF(#REF!&gt;0,IF(_xlfn.XLOOKUP(G66,INDIRECT(B66),INDIRECT(B66),"NO")="NO","",_xlfn.XLOOKUP($C66,LUT!$B$3:$B$200,LUT!$D$3:$D$200,"")&amp;""),""),"")</f>
        <v/>
      </c>
      <c r="B66" s="51"/>
      <c r="C66" s="53"/>
      <c r="D66" s="83"/>
      <c r="E66" s="83"/>
      <c r="F66" s="83"/>
      <c r="G66" s="52"/>
      <c r="H66" s="96"/>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10">
        <f t="shared" si="0"/>
        <v>0</v>
      </c>
      <c r="AL66" s="111">
        <f t="shared" si="1"/>
        <v>0</v>
      </c>
      <c r="AM66" s="47"/>
    </row>
    <row r="67" spans="1:39" x14ac:dyDescent="0.25">
      <c r="A67" s="50" t="str" cm="1">
        <f t="array" aca="1" ref="A67" ca="1">IFERROR(IF(#REF!&gt;0,IF(_xlfn.XLOOKUP(G67,INDIRECT(B67),INDIRECT(B67),"NO")="NO","",_xlfn.XLOOKUP($C67,LUT!$B$3:$B$200,LUT!$D$3:$D$200,"")&amp;""),""),"")</f>
        <v/>
      </c>
      <c r="B67" s="51"/>
      <c r="C67" s="53"/>
      <c r="D67" s="83"/>
      <c r="E67" s="83"/>
      <c r="F67" s="83"/>
      <c r="G67" s="52"/>
      <c r="H67" s="96"/>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c r="AH67" s="109"/>
      <c r="AI67" s="109"/>
      <c r="AJ67" s="109"/>
      <c r="AK67" s="110">
        <f t="shared" si="0"/>
        <v>0</v>
      </c>
      <c r="AL67" s="111">
        <f t="shared" si="1"/>
        <v>0</v>
      </c>
      <c r="AM67" s="47"/>
    </row>
    <row r="68" spans="1:39" x14ac:dyDescent="0.25">
      <c r="A68" s="54"/>
      <c r="B68" s="54"/>
      <c r="C68" s="54"/>
      <c r="D68" s="54"/>
      <c r="E68" s="237"/>
      <c r="F68" s="54"/>
      <c r="G68" s="54"/>
      <c r="H68" s="54"/>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3"/>
      <c r="AI68" s="113"/>
      <c r="AJ68" s="113"/>
      <c r="AK68" s="114"/>
      <c r="AL68" s="115"/>
      <c r="AM68" s="55"/>
    </row>
    <row r="69" spans="1:39" x14ac:dyDescent="0.25">
      <c r="A69" s="193" t="s">
        <v>30</v>
      </c>
      <c r="B69" s="194"/>
      <c r="C69" s="194"/>
      <c r="D69" s="194"/>
      <c r="E69" s="194"/>
      <c r="F69" s="195"/>
      <c r="G69" s="229" t="s">
        <v>31</v>
      </c>
      <c r="H69" s="56" t="s">
        <v>23</v>
      </c>
      <c r="I69" s="116" cm="1">
        <f t="array" aca="1" ref="I69" ca="1">SUMPRODUCT(SUBTOTAL(9,OFFSET(I$14,ROW(I$14:I$68)-ROW(I$14),)),--($H$14:$H$68=$H69))</f>
        <v>0</v>
      </c>
      <c r="J69" s="116" cm="1">
        <f t="array" aca="1" ref="J69" ca="1">SUMPRODUCT(SUBTOTAL(9,OFFSET(J$14,ROW(J$14:J$68)-ROW(J$14),)),--($H$14:$H$68=$H69))</f>
        <v>0</v>
      </c>
      <c r="K69" s="116" cm="1">
        <f t="array" aca="1" ref="K69" ca="1">SUMPRODUCT(SUBTOTAL(9,OFFSET(K$14,ROW(K$14:K$68)-ROW(K$14),)),--($H$14:$H$68=$H69))</f>
        <v>0</v>
      </c>
      <c r="L69" s="116" cm="1">
        <f t="array" aca="1" ref="L69" ca="1">SUMPRODUCT(SUBTOTAL(9,OFFSET(L$14,ROW(L$14:L$68)-ROW(L$14),)),--($H$14:$H$68=$H69))</f>
        <v>0</v>
      </c>
      <c r="M69" s="116" cm="1">
        <f t="array" aca="1" ref="M69" ca="1">SUMPRODUCT(SUBTOTAL(9,OFFSET(M$14,ROW(M$14:M$68)-ROW(M$14),)),--($H$14:$H$68=$H69))</f>
        <v>0</v>
      </c>
      <c r="N69" s="116" cm="1">
        <f t="array" aca="1" ref="N69" ca="1">SUMPRODUCT(SUBTOTAL(9,OFFSET(N$14,ROW(N$14:N$68)-ROW(N$14),)),--($H$14:$H$68=$H69))</f>
        <v>0</v>
      </c>
      <c r="O69" s="116" cm="1">
        <f t="array" aca="1" ref="O69" ca="1">SUMPRODUCT(SUBTOTAL(9,OFFSET(O$14,ROW(O$14:O$68)-ROW(O$14),)),--($H$14:$H$68=$H69))</f>
        <v>0</v>
      </c>
      <c r="P69" s="116" cm="1">
        <f t="array" aca="1" ref="P69" ca="1">SUMPRODUCT(SUBTOTAL(9,OFFSET(P$14,ROW(P$14:P$68)-ROW(P$14),)),--($H$14:$H$68=$H69))</f>
        <v>0</v>
      </c>
      <c r="Q69" s="116" cm="1">
        <f t="array" aca="1" ref="Q69" ca="1">SUMPRODUCT(SUBTOTAL(9,OFFSET(Q$14,ROW(Q$14:Q$68)-ROW(Q$14),)),--($H$14:$H$68=$H69))</f>
        <v>0</v>
      </c>
      <c r="R69" s="116" cm="1">
        <f t="array" aca="1" ref="R69" ca="1">SUMPRODUCT(SUBTOTAL(9,OFFSET(R$14,ROW(R$14:R$68)-ROW(R$14),)),--($H$14:$H$68=$H69))</f>
        <v>0</v>
      </c>
      <c r="S69" s="116" cm="1">
        <f t="array" aca="1" ref="S69" ca="1">SUMPRODUCT(SUBTOTAL(9,OFFSET(S$14,ROW(S$14:S$68)-ROW(S$14),)),--($H$14:$H$68=$H69))</f>
        <v>0</v>
      </c>
      <c r="T69" s="116" cm="1">
        <f t="array" aca="1" ref="T69" ca="1">SUMPRODUCT(SUBTOTAL(9,OFFSET(T$14,ROW(T$14:T$68)-ROW(T$14),)),--($H$14:$H$68=$H69))</f>
        <v>0</v>
      </c>
      <c r="U69" s="116" cm="1">
        <f t="array" aca="1" ref="U69" ca="1">SUMPRODUCT(SUBTOTAL(9,OFFSET(U$14,ROW(U$14:U$68)-ROW(U$14),)),--($H$14:$H$68=$H69))</f>
        <v>0</v>
      </c>
      <c r="V69" s="116" cm="1">
        <f t="array" aca="1" ref="V69" ca="1">SUMPRODUCT(SUBTOTAL(9,OFFSET(V$14,ROW(V$14:V$68)-ROW(V$14),)),--($H$14:$H$68=$H69))</f>
        <v>0</v>
      </c>
      <c r="W69" s="116" cm="1">
        <f t="array" aca="1" ref="W69" ca="1">SUMPRODUCT(SUBTOTAL(9,OFFSET(W$14,ROW(W$14:W$68)-ROW(W$14),)),--($H$14:$H$68=$H69))</f>
        <v>0</v>
      </c>
      <c r="X69" s="116" cm="1">
        <f t="array" aca="1" ref="X69" ca="1">SUMPRODUCT(SUBTOTAL(9,OFFSET(X$14,ROW(X$14:X$68)-ROW(X$14),)),--($H$14:$H$68=$H69))</f>
        <v>0</v>
      </c>
      <c r="Y69" s="116" cm="1">
        <f t="array" aca="1" ref="Y69" ca="1">SUMPRODUCT(SUBTOTAL(9,OFFSET(Y$14,ROW(Y$14:Y$68)-ROW(Y$14),)),--($H$14:$H$68=$H69))</f>
        <v>0</v>
      </c>
      <c r="Z69" s="116" cm="1">
        <f t="array" aca="1" ref="Z69" ca="1">SUMPRODUCT(SUBTOTAL(9,OFFSET(Z$14,ROW(Z$14:Z$68)-ROW(Z$14),)),--($H$14:$H$68=$H69))</f>
        <v>0</v>
      </c>
      <c r="AA69" s="116" cm="1">
        <f t="array" aca="1" ref="AA69" ca="1">SUMPRODUCT(SUBTOTAL(9,OFFSET(AA$14,ROW(AA$14:AA$68)-ROW(AA$14),)),--($H$14:$H$68=$H69))</f>
        <v>0</v>
      </c>
      <c r="AB69" s="116" cm="1">
        <f t="array" aca="1" ref="AB69" ca="1">SUMPRODUCT(SUBTOTAL(9,OFFSET(AB$14,ROW(AB$14:AB$68)-ROW(AB$14),)),--($H$14:$H$68=$H69))</f>
        <v>0</v>
      </c>
      <c r="AC69" s="116" cm="1">
        <f t="array" aca="1" ref="AC69" ca="1">SUMPRODUCT(SUBTOTAL(9,OFFSET(AC$14,ROW(AC$14:AC$68)-ROW(AC$14),)),--($H$14:$H$68=$H69))</f>
        <v>0</v>
      </c>
      <c r="AD69" s="116" cm="1">
        <f t="array" aca="1" ref="AD69" ca="1">SUMPRODUCT(SUBTOTAL(9,OFFSET(AD$14,ROW(AD$14:AD$68)-ROW(AD$14),)),--($H$14:$H$68=$H69))</f>
        <v>0</v>
      </c>
      <c r="AE69" s="116" cm="1">
        <f t="array" aca="1" ref="AE69" ca="1">SUMPRODUCT(SUBTOTAL(9,OFFSET(AE$14,ROW(AE$14:AE$68)-ROW(AE$14),)),--($H$14:$H$68=$H69))</f>
        <v>0</v>
      </c>
      <c r="AF69" s="116" cm="1">
        <f t="array" aca="1" ref="AF69" ca="1">SUMPRODUCT(SUBTOTAL(9,OFFSET(AF$14,ROW(AF$14:AF$68)-ROW(AF$14),)),--($H$14:$H$68=$H69))</f>
        <v>0</v>
      </c>
      <c r="AG69" s="116" cm="1">
        <f t="array" aca="1" ref="AG69" ca="1">SUMPRODUCT(SUBTOTAL(9,OFFSET(AG$14,ROW(AG$14:AG$68)-ROW(AG$14),)),--($H$14:$H$68=$H69))</f>
        <v>0</v>
      </c>
      <c r="AH69" s="116" cm="1">
        <f t="array" aca="1" ref="AH69" ca="1">SUMPRODUCT(SUBTOTAL(9,OFFSET(AH$14,ROW(AH$14:AH$68)-ROW(AH$14),)),--($H$14:$H$68=$H69))</f>
        <v>0</v>
      </c>
      <c r="AI69" s="116" cm="1">
        <f t="array" aca="1" ref="AI69" ca="1">SUMPRODUCT(SUBTOTAL(9,OFFSET(AI$14,ROW(AI$14:AI$68)-ROW(AI$14),)),--($H$14:$H$68=$H69))</f>
        <v>0</v>
      </c>
      <c r="AJ69" s="116" cm="1">
        <f t="array" aca="1" ref="AJ69" ca="1">SUMPRODUCT(SUBTOTAL(9,OFFSET(AJ$14,ROW(AJ$14:AJ$68)-ROW(AJ$14),)),--($H$14:$H$68=$H69))</f>
        <v>0</v>
      </c>
      <c r="AK69" s="117" cm="1">
        <f t="array" aca="1" ref="AK69" ca="1">SUMPRODUCT(SUBTOTAL(9,OFFSET(AK$14,ROW(AK$14:AK$68)-ROW(AK$14),)),--($H$14:$H$68=$H69))</f>
        <v>0</v>
      </c>
      <c r="AL69" s="117">
        <f t="shared" ref="AL69:AL71" ca="1" si="6">MAX(I69:AJ69)</f>
        <v>0</v>
      </c>
      <c r="AM69" s="104"/>
    </row>
    <row r="70" spans="1:39" ht="15" customHeight="1" x14ac:dyDescent="0.25">
      <c r="A70" s="196" t="s">
        <v>23</v>
      </c>
      <c r="B70" s="197"/>
      <c r="C70" s="200" t="s">
        <v>32</v>
      </c>
      <c r="D70" s="200"/>
      <c r="E70" s="200"/>
      <c r="F70" s="201"/>
      <c r="G70" s="230"/>
      <c r="H70" s="56" t="s">
        <v>18</v>
      </c>
      <c r="I70" s="116" cm="1">
        <f t="array" aca="1" ref="I70" ca="1">SUMPRODUCT(SUBTOTAL(9,OFFSET(I$14,ROW(I$14:I$68)-ROW(I$14),)),--($H$14:$H$68=$H70))</f>
        <v>0</v>
      </c>
      <c r="J70" s="116" cm="1">
        <f t="array" aca="1" ref="J70" ca="1">SUMPRODUCT(SUBTOTAL(9,OFFSET(J$14,ROW(J$14:J$68)-ROW(J$14),)),--($H$14:$H$68=$H70))</f>
        <v>0</v>
      </c>
      <c r="K70" s="116" cm="1">
        <f t="array" aca="1" ref="K70" ca="1">SUMPRODUCT(SUBTOTAL(9,OFFSET(K$14,ROW(K$14:K$68)-ROW(K$14),)),--($H$14:$H$68=$H70))</f>
        <v>0</v>
      </c>
      <c r="L70" s="116" cm="1">
        <f t="array" aca="1" ref="L70" ca="1">SUMPRODUCT(SUBTOTAL(9,OFFSET(L$14,ROW(L$14:L$68)-ROW(L$14),)),--($H$14:$H$68=$H70))</f>
        <v>0.5</v>
      </c>
      <c r="M70" s="116" cm="1">
        <f t="array" aca="1" ref="M70" ca="1">SUMPRODUCT(SUBTOTAL(9,OFFSET(M$14,ROW(M$14:M$68)-ROW(M$14),)),--($H$14:$H$68=$H70))</f>
        <v>0.7</v>
      </c>
      <c r="N70" s="116" cm="1">
        <f t="array" aca="1" ref="N70" ca="1">SUMPRODUCT(SUBTOTAL(9,OFFSET(N$14,ROW(N$14:N$68)-ROW(N$14),)),--($H$14:$H$68=$H70))</f>
        <v>1</v>
      </c>
      <c r="O70" s="116" cm="1">
        <f t="array" aca="1" ref="O70" ca="1">SUMPRODUCT(SUBTOTAL(9,OFFSET(O$14,ROW(O$14:O$68)-ROW(O$14),)),--($H$14:$H$68=$H70))</f>
        <v>1</v>
      </c>
      <c r="P70" s="116" cm="1">
        <f t="array" aca="1" ref="P70" ca="1">SUMPRODUCT(SUBTOTAL(9,OFFSET(P$14,ROW(P$14:P$68)-ROW(P$14),)),--($H$14:$H$68=$H70))</f>
        <v>1</v>
      </c>
      <c r="Q70" s="116" cm="1">
        <f t="array" aca="1" ref="Q70" ca="1">SUMPRODUCT(SUBTOTAL(9,OFFSET(Q$14,ROW(Q$14:Q$68)-ROW(Q$14),)),--($H$14:$H$68=$H70))</f>
        <v>2.5</v>
      </c>
      <c r="R70" s="116" cm="1">
        <f t="array" aca="1" ref="R70" ca="1">SUMPRODUCT(SUBTOTAL(9,OFFSET(R$14,ROW(R$14:R$68)-ROW(R$14),)),--($H$14:$H$68=$H70))</f>
        <v>13.6</v>
      </c>
      <c r="S70" s="116" cm="1">
        <f t="array" aca="1" ref="S70" ca="1">SUMPRODUCT(SUBTOTAL(9,OFFSET(S$14,ROW(S$14:S$68)-ROW(S$14),)),--($H$14:$H$68=$H70))</f>
        <v>20.2</v>
      </c>
      <c r="T70" s="116" cm="1">
        <f t="array" aca="1" ref="T70" ca="1">SUMPRODUCT(SUBTOTAL(9,OFFSET(T$14,ROW(T$14:T$68)-ROW(T$14),)),--($H$14:$H$68=$H70))</f>
        <v>28.7</v>
      </c>
      <c r="U70" s="116" cm="1">
        <f t="array" aca="1" ref="U70" ca="1">SUMPRODUCT(SUBTOTAL(9,OFFSET(U$14,ROW(U$14:U$68)-ROW(U$14),)),--($H$14:$H$68=$H70))</f>
        <v>30.1</v>
      </c>
      <c r="V70" s="116" cm="1">
        <f t="array" aca="1" ref="V70" ca="1">SUMPRODUCT(SUBTOTAL(9,OFFSET(V$14,ROW(V$14:V$68)-ROW(V$14),)),--($H$14:$H$68=$H70))</f>
        <v>29.6</v>
      </c>
      <c r="W70" s="116" cm="1">
        <f t="array" aca="1" ref="W70" ca="1">SUMPRODUCT(SUBTOTAL(9,OFFSET(W$14,ROW(W$14:W$68)-ROW(W$14),)),--($H$14:$H$68=$H70))</f>
        <v>22.6</v>
      </c>
      <c r="X70" s="116" cm="1">
        <f t="array" aca="1" ref="X70" ca="1">SUMPRODUCT(SUBTOTAL(9,OFFSET(X$14,ROW(X$14:X$68)-ROW(X$14),)),--($H$14:$H$68=$H70))</f>
        <v>16.200000000000003</v>
      </c>
      <c r="Y70" s="116" cm="1">
        <f t="array" aca="1" ref="Y70" ca="1">SUMPRODUCT(SUBTOTAL(9,OFFSET(Y$14,ROW(Y$14:Y$68)-ROW(Y$14),)),--($H$14:$H$68=$H70))</f>
        <v>14</v>
      </c>
      <c r="Z70" s="116" cm="1">
        <f t="array" aca="1" ref="Z70" ca="1">SUMPRODUCT(SUBTOTAL(9,OFFSET(Z$14,ROW(Z$14:Z$68)-ROW(Z$14),)),--($H$14:$H$68=$H70))</f>
        <v>0</v>
      </c>
      <c r="AA70" s="116" cm="1">
        <f t="array" aca="1" ref="AA70" ca="1">SUMPRODUCT(SUBTOTAL(9,OFFSET(AA$14,ROW(AA$14:AA$68)-ROW(AA$14),)),--($H$14:$H$68=$H70))</f>
        <v>0</v>
      </c>
      <c r="AB70" s="116" cm="1">
        <f t="array" aca="1" ref="AB70" ca="1">SUMPRODUCT(SUBTOTAL(9,OFFSET(AB$14,ROW(AB$14:AB$68)-ROW(AB$14),)),--($H$14:$H$68=$H70))</f>
        <v>0</v>
      </c>
      <c r="AC70" s="116" cm="1">
        <f t="array" aca="1" ref="AC70" ca="1">SUMPRODUCT(SUBTOTAL(9,OFFSET(AC$14,ROW(AC$14:AC$68)-ROW(AC$14),)),--($H$14:$H$68=$H70))</f>
        <v>0</v>
      </c>
      <c r="AD70" s="116" cm="1">
        <f t="array" aca="1" ref="AD70" ca="1">SUMPRODUCT(SUBTOTAL(9,OFFSET(AD$14,ROW(AD$14:AD$68)-ROW(AD$14),)),--($H$14:$H$68=$H70))</f>
        <v>0</v>
      </c>
      <c r="AE70" s="116" cm="1">
        <f t="array" aca="1" ref="AE70" ca="1">SUMPRODUCT(SUBTOTAL(9,OFFSET(AE$14,ROW(AE$14:AE$68)-ROW(AE$14),)),--($H$14:$H$68=$H70))</f>
        <v>0</v>
      </c>
      <c r="AF70" s="116" cm="1">
        <f t="array" aca="1" ref="AF70" ca="1">SUMPRODUCT(SUBTOTAL(9,OFFSET(AF$14,ROW(AF$14:AF$68)-ROW(AF$14),)),--($H$14:$H$68=$H70))</f>
        <v>0</v>
      </c>
      <c r="AG70" s="116" cm="1">
        <f t="array" aca="1" ref="AG70" ca="1">SUMPRODUCT(SUBTOTAL(9,OFFSET(AG$14,ROW(AG$14:AG$68)-ROW(AG$14),)),--($H$14:$H$68=$H70))</f>
        <v>0</v>
      </c>
      <c r="AH70" s="116" cm="1">
        <f t="array" aca="1" ref="AH70" ca="1">SUMPRODUCT(SUBTOTAL(9,OFFSET(AH$14,ROW(AH$14:AH$68)-ROW(AH$14),)),--($H$14:$H$68=$H70))</f>
        <v>0</v>
      </c>
      <c r="AI70" s="116" cm="1">
        <f t="array" aca="1" ref="AI70" ca="1">SUMPRODUCT(SUBTOTAL(9,OFFSET(AI$14,ROW(AI$14:AI$68)-ROW(AI$14),)),--($H$14:$H$68=$H70))</f>
        <v>0</v>
      </c>
      <c r="AJ70" s="116" cm="1">
        <f t="array" aca="1" ref="AJ70" ca="1">SUMPRODUCT(SUBTOTAL(9,OFFSET(AJ$14,ROW(AJ$14:AJ$68)-ROW(AJ$14),)),--($H$14:$H$68=$H70))</f>
        <v>0</v>
      </c>
      <c r="AK70" s="117" cm="1">
        <f t="array" aca="1" ref="AK70" ca="1">SUMPRODUCT(SUBTOTAL(9,OFFSET(AK$14,ROW(AK$14:AK$68)-ROW(AK$14),)),--($H$14:$H$68=$H70))</f>
        <v>181.7</v>
      </c>
      <c r="AL70" s="117">
        <f t="shared" ca="1" si="6"/>
        <v>30.1</v>
      </c>
      <c r="AM70" s="105"/>
    </row>
    <row r="71" spans="1:39" ht="15" customHeight="1" x14ac:dyDescent="0.25">
      <c r="A71" s="196"/>
      <c r="B71" s="197"/>
      <c r="C71" s="198" t="s">
        <v>33</v>
      </c>
      <c r="D71" s="198"/>
      <c r="E71" s="198"/>
      <c r="F71" s="199"/>
      <c r="G71" s="231"/>
      <c r="H71" s="56" t="s">
        <v>34</v>
      </c>
      <c r="I71" s="117">
        <f t="shared" ref="I71:AK71" ca="1" si="7">SUM(I69:I70)</f>
        <v>0</v>
      </c>
      <c r="J71" s="117">
        <f t="shared" ca="1" si="7"/>
        <v>0</v>
      </c>
      <c r="K71" s="117">
        <f t="shared" ca="1" si="7"/>
        <v>0</v>
      </c>
      <c r="L71" s="117">
        <f t="shared" ca="1" si="7"/>
        <v>0.5</v>
      </c>
      <c r="M71" s="117">
        <f t="shared" ca="1" si="7"/>
        <v>0.7</v>
      </c>
      <c r="N71" s="117">
        <f t="shared" ca="1" si="7"/>
        <v>1</v>
      </c>
      <c r="O71" s="117">
        <f t="shared" ca="1" si="7"/>
        <v>1</v>
      </c>
      <c r="P71" s="117">
        <f t="shared" ca="1" si="7"/>
        <v>1</v>
      </c>
      <c r="Q71" s="117">
        <f t="shared" ca="1" si="7"/>
        <v>2.5</v>
      </c>
      <c r="R71" s="117">
        <f t="shared" ca="1" si="7"/>
        <v>13.6</v>
      </c>
      <c r="S71" s="117">
        <f t="shared" ca="1" si="7"/>
        <v>20.2</v>
      </c>
      <c r="T71" s="117">
        <f t="shared" ca="1" si="7"/>
        <v>28.7</v>
      </c>
      <c r="U71" s="117">
        <f t="shared" ca="1" si="7"/>
        <v>30.1</v>
      </c>
      <c r="V71" s="117">
        <f t="shared" ca="1" si="7"/>
        <v>29.6</v>
      </c>
      <c r="W71" s="117">
        <f t="shared" ca="1" si="7"/>
        <v>22.6</v>
      </c>
      <c r="X71" s="117">
        <f t="shared" ca="1" si="7"/>
        <v>16.200000000000003</v>
      </c>
      <c r="Y71" s="117">
        <f t="shared" ca="1" si="7"/>
        <v>14</v>
      </c>
      <c r="Z71" s="117">
        <f t="shared" ca="1" si="7"/>
        <v>0</v>
      </c>
      <c r="AA71" s="117">
        <f t="shared" ca="1" si="7"/>
        <v>0</v>
      </c>
      <c r="AB71" s="117">
        <f t="shared" ca="1" si="7"/>
        <v>0</v>
      </c>
      <c r="AC71" s="117">
        <f t="shared" ca="1" si="7"/>
        <v>0</v>
      </c>
      <c r="AD71" s="117">
        <f t="shared" ca="1" si="7"/>
        <v>0</v>
      </c>
      <c r="AE71" s="117">
        <f t="shared" ca="1" si="7"/>
        <v>0</v>
      </c>
      <c r="AF71" s="117">
        <f t="shared" ca="1" si="7"/>
        <v>0</v>
      </c>
      <c r="AG71" s="117">
        <f t="shared" ca="1" si="7"/>
        <v>0</v>
      </c>
      <c r="AH71" s="117">
        <f t="shared" ca="1" si="7"/>
        <v>0</v>
      </c>
      <c r="AI71" s="117">
        <f t="shared" ca="1" si="7"/>
        <v>0</v>
      </c>
      <c r="AJ71" s="117">
        <f t="shared" ca="1" si="7"/>
        <v>0</v>
      </c>
      <c r="AK71" s="117">
        <f t="shared" ca="1" si="7"/>
        <v>181.7</v>
      </c>
      <c r="AL71" s="117">
        <f t="shared" ca="1" si="6"/>
        <v>30.1</v>
      </c>
      <c r="AM71" s="105"/>
    </row>
    <row r="72" spans="1:39" x14ac:dyDescent="0.25">
      <c r="A72" s="137"/>
      <c r="B72" s="138"/>
      <c r="C72" s="198"/>
      <c r="D72" s="198"/>
      <c r="E72" s="198"/>
      <c r="F72" s="199"/>
      <c r="G72" s="224"/>
      <c r="H72" s="59"/>
      <c r="I72" s="118"/>
      <c r="J72" s="118"/>
      <c r="K72" s="118"/>
      <c r="L72" s="118"/>
      <c r="M72" s="118"/>
      <c r="N72" s="118"/>
      <c r="O72" s="118"/>
      <c r="P72" s="118"/>
      <c r="Q72" s="118"/>
      <c r="R72" s="118"/>
      <c r="S72" s="118"/>
      <c r="T72" s="118"/>
      <c r="U72" s="118"/>
      <c r="V72" s="118"/>
      <c r="W72" s="118"/>
      <c r="X72" s="118"/>
      <c r="Y72" s="118"/>
      <c r="Z72" s="118"/>
      <c r="AA72" s="118"/>
      <c r="AB72" s="118"/>
      <c r="AC72" s="118" t="e" cm="1">
        <f t="array" aca="1" ref="AC72" ca="1">SUMPRODUCT(SUBTOTAL(9,OFFSET(AC$14,ROW(AC$14:AC$68)-ROW(AC$14),)),--($H$14:$H$68=$H69),#REF!)</f>
        <v>#REF!</v>
      </c>
      <c r="AD72" s="118" t="e" cm="1">
        <f t="array" aca="1" ref="AD72" ca="1">SUMPRODUCT(SUBTOTAL(9,OFFSET(AD$14,ROW(AD$14:AD$68)-ROW(AD$14),)),--($H$14:$H$68=$H69),#REF!)</f>
        <v>#REF!</v>
      </c>
      <c r="AE72" s="118" t="e" cm="1">
        <f t="array" aca="1" ref="AE72" ca="1">SUMPRODUCT(SUBTOTAL(9,OFFSET(AE$14,ROW(AE$14:AE$68)-ROW(AE$14),)),--($H$14:$H$68=$H69),#REF!)</f>
        <v>#REF!</v>
      </c>
      <c r="AF72" s="118" t="e" cm="1">
        <f t="array" aca="1" ref="AF72" ca="1">SUMPRODUCT(SUBTOTAL(9,OFFSET(AF$14,ROW(AF$14:AF$68)-ROW(AF$14),)),--($H$14:$H$68=$H69),#REF!)</f>
        <v>#REF!</v>
      </c>
      <c r="AG72" s="118" t="e" cm="1">
        <f t="array" aca="1" ref="AG72" ca="1">SUMPRODUCT(SUBTOTAL(9,OFFSET(AG$14,ROW(AG$14:AG$68)-ROW(AG$14),)),--($H$14:$H$68=$H69),#REF!)</f>
        <v>#REF!</v>
      </c>
      <c r="AH72" s="118" t="e" cm="1">
        <f t="array" aca="1" ref="AH72" ca="1">SUMPRODUCT(SUBTOTAL(9,OFFSET(AH$14,ROW(AH$14:AH$68)-ROW(AH$14),)),--($H$14:$H$68=$H69),#REF!)</f>
        <v>#REF!</v>
      </c>
      <c r="AI72" s="118" t="e" cm="1">
        <f t="array" aca="1" ref="AI72" ca="1">SUMPRODUCT(SUBTOTAL(9,OFFSET(AI$14,ROW(AI$14:AI$68)-ROW(AI$14),)),--($H$14:$H$68=$H69),#REF!)</f>
        <v>#REF!</v>
      </c>
      <c r="AJ72" s="118" t="e" cm="1">
        <f t="array" aca="1" ref="AJ72" ca="1">SUMPRODUCT(SUBTOTAL(9,OFFSET(AJ$14,ROW(AJ$14:AJ$68)-ROW(AJ$14),)),--($H$14:$H$68=$H69),#REF!)</f>
        <v>#REF!</v>
      </c>
      <c r="AK72" s="125"/>
      <c r="AL72" s="125"/>
      <c r="AM72" s="105"/>
    </row>
    <row r="73" spans="1:39" x14ac:dyDescent="0.25">
      <c r="A73" s="196" t="s">
        <v>18</v>
      </c>
      <c r="B73" s="197"/>
      <c r="C73" s="200" t="s">
        <v>35</v>
      </c>
      <c r="D73" s="200"/>
      <c r="E73" s="200"/>
      <c r="F73" s="201"/>
      <c r="G73" s="225"/>
      <c r="H73" s="59"/>
      <c r="I73" s="118"/>
      <c r="J73" s="118"/>
      <c r="K73" s="118"/>
      <c r="L73" s="118"/>
      <c r="M73" s="118"/>
      <c r="N73" s="118"/>
      <c r="O73" s="118"/>
      <c r="P73" s="118"/>
      <c r="Q73" s="118"/>
      <c r="R73" s="118"/>
      <c r="S73" s="118"/>
      <c r="T73" s="118"/>
      <c r="U73" s="118"/>
      <c r="V73" s="118"/>
      <c r="W73" s="118"/>
      <c r="X73" s="118"/>
      <c r="Y73" s="118"/>
      <c r="Z73" s="118"/>
      <c r="AA73" s="118"/>
      <c r="AB73" s="118"/>
      <c r="AC73" s="118" t="e" cm="1">
        <f t="array" aca="1" ref="AC73" ca="1">SUMPRODUCT(SUBTOTAL(9,OFFSET(AC$14,ROW(AC$14:AC$68)-ROW(AC$14),)),--($H$14:$H$68=$H70),#REF!)</f>
        <v>#REF!</v>
      </c>
      <c r="AD73" s="118" t="e" cm="1">
        <f t="array" aca="1" ref="AD73" ca="1">SUMPRODUCT(SUBTOTAL(9,OFFSET(AD$14,ROW(AD$14:AD$68)-ROW(AD$14),)),--($H$14:$H$68=$H70),#REF!)</f>
        <v>#REF!</v>
      </c>
      <c r="AE73" s="118" t="e" cm="1">
        <f t="array" aca="1" ref="AE73" ca="1">SUMPRODUCT(SUBTOTAL(9,OFFSET(AE$14,ROW(AE$14:AE$68)-ROW(AE$14),)),--($H$14:$H$68=$H70),#REF!)</f>
        <v>#REF!</v>
      </c>
      <c r="AF73" s="118" t="e" cm="1">
        <f t="array" aca="1" ref="AF73" ca="1">SUMPRODUCT(SUBTOTAL(9,OFFSET(AF$14,ROW(AF$14:AF$68)-ROW(AF$14),)),--($H$14:$H$68=$H70),#REF!)</f>
        <v>#REF!</v>
      </c>
      <c r="AG73" s="118" t="e" cm="1">
        <f t="array" aca="1" ref="AG73" ca="1">SUMPRODUCT(SUBTOTAL(9,OFFSET(AG$14,ROW(AG$14:AG$68)-ROW(AG$14),)),--($H$14:$H$68=$H70),#REF!)</f>
        <v>#REF!</v>
      </c>
      <c r="AH73" s="118" t="e" cm="1">
        <f t="array" aca="1" ref="AH73" ca="1">SUMPRODUCT(SUBTOTAL(9,OFFSET(AH$14,ROW(AH$14:AH$68)-ROW(AH$14),)),--($H$14:$H$68=$H70),#REF!)</f>
        <v>#REF!</v>
      </c>
      <c r="AI73" s="118" t="e" cm="1">
        <f t="array" aca="1" ref="AI73" ca="1">SUMPRODUCT(SUBTOTAL(9,OFFSET(AI$14,ROW(AI$14:AI$68)-ROW(AI$14),)),--($H$14:$H$68=$H70),#REF!)</f>
        <v>#REF!</v>
      </c>
      <c r="AJ73" s="118" t="e" cm="1">
        <f t="array" aca="1" ref="AJ73" ca="1">SUMPRODUCT(SUBTOTAL(9,OFFSET(AJ$14,ROW(AJ$14:AJ$68)-ROW(AJ$14),)),--($H$14:$H$68=$H70),#REF!)</f>
        <v>#REF!</v>
      </c>
      <c r="AK73" s="125"/>
      <c r="AL73" s="125"/>
      <c r="AM73" s="105"/>
    </row>
    <row r="74" spans="1:39" x14ac:dyDescent="0.25">
      <c r="A74" s="136"/>
      <c r="B74" s="135"/>
      <c r="C74" s="198" t="s">
        <v>36</v>
      </c>
      <c r="D74" s="198"/>
      <c r="E74" s="198"/>
      <c r="F74" s="199"/>
      <c r="G74" s="226"/>
      <c r="H74" s="59"/>
      <c r="I74" s="118"/>
      <c r="J74" s="118"/>
      <c r="K74" s="118"/>
      <c r="L74" s="118"/>
      <c r="M74" s="118"/>
      <c r="N74" s="118"/>
      <c r="O74" s="118"/>
      <c r="P74" s="118"/>
      <c r="Q74" s="118"/>
      <c r="R74" s="118"/>
      <c r="S74" s="118"/>
      <c r="T74" s="118"/>
      <c r="U74" s="118"/>
      <c r="V74" s="118"/>
      <c r="W74" s="118"/>
      <c r="X74" s="118"/>
      <c r="Y74" s="118"/>
      <c r="Z74" s="118"/>
      <c r="AA74" s="118"/>
      <c r="AB74" s="118"/>
      <c r="AC74" s="118" t="e">
        <f t="shared" ref="AC74:AJ74" ca="1" si="8">SUM(AC72:AC73)</f>
        <v>#REF!</v>
      </c>
      <c r="AD74" s="118" t="e">
        <f t="shared" ca="1" si="8"/>
        <v>#REF!</v>
      </c>
      <c r="AE74" s="118" t="e">
        <f t="shared" ca="1" si="8"/>
        <v>#REF!</v>
      </c>
      <c r="AF74" s="118" t="e">
        <f t="shared" ca="1" si="8"/>
        <v>#REF!</v>
      </c>
      <c r="AG74" s="118" t="e">
        <f t="shared" ca="1" si="8"/>
        <v>#REF!</v>
      </c>
      <c r="AH74" s="118" t="e">
        <f t="shared" ca="1" si="8"/>
        <v>#REF!</v>
      </c>
      <c r="AI74" s="118" t="e">
        <f t="shared" ca="1" si="8"/>
        <v>#REF!</v>
      </c>
      <c r="AJ74" s="118" t="e">
        <f t="shared" ca="1" si="8"/>
        <v>#REF!</v>
      </c>
      <c r="AK74" s="125"/>
      <c r="AL74" s="125"/>
      <c r="AM74" s="105"/>
    </row>
    <row r="75" spans="1:39" ht="15" hidden="1" customHeight="1" outlineLevel="1" x14ac:dyDescent="0.25">
      <c r="A75" s="105"/>
      <c r="B75" s="107"/>
      <c r="C75" s="107"/>
      <c r="D75" s="107"/>
      <c r="E75" s="238"/>
      <c r="F75" s="106"/>
      <c r="G75" s="227"/>
      <c r="H75" s="81"/>
      <c r="I75" s="122"/>
      <c r="J75" s="122"/>
      <c r="K75" s="122"/>
      <c r="L75" s="122"/>
      <c r="M75" s="122"/>
      <c r="N75" s="122"/>
      <c r="O75" s="122"/>
      <c r="P75" s="122"/>
      <c r="Q75" s="122"/>
      <c r="R75" s="122"/>
      <c r="S75" s="122"/>
      <c r="T75" s="122"/>
      <c r="U75" s="122"/>
      <c r="V75" s="122"/>
      <c r="W75" s="122"/>
      <c r="X75" s="122"/>
      <c r="Y75" s="122"/>
      <c r="Z75" s="122"/>
      <c r="AA75" s="122"/>
      <c r="AB75" s="122"/>
      <c r="AC75" s="122">
        <f t="shared" ref="AC75:AJ75" ca="1" si="9">AC70-AB70</f>
        <v>0</v>
      </c>
      <c r="AD75" s="122">
        <f t="shared" ca="1" si="9"/>
        <v>0</v>
      </c>
      <c r="AE75" s="122">
        <f t="shared" ca="1" si="9"/>
        <v>0</v>
      </c>
      <c r="AF75" s="122">
        <f t="shared" ca="1" si="9"/>
        <v>0</v>
      </c>
      <c r="AG75" s="122">
        <f t="shared" ca="1" si="9"/>
        <v>0</v>
      </c>
      <c r="AH75" s="122">
        <f t="shared" ca="1" si="9"/>
        <v>0</v>
      </c>
      <c r="AI75" s="122">
        <f t="shared" ca="1" si="9"/>
        <v>0</v>
      </c>
      <c r="AJ75" s="122">
        <f t="shared" ca="1" si="9"/>
        <v>0</v>
      </c>
      <c r="AK75" s="126"/>
      <c r="AL75" s="126"/>
      <c r="AM75" s="105"/>
    </row>
    <row r="76" spans="1:39" ht="15" hidden="1" customHeight="1" outlineLevel="1" collapsed="1" x14ac:dyDescent="0.25">
      <c r="A76" s="105"/>
      <c r="B76" s="107"/>
      <c r="C76" s="107"/>
      <c r="D76" s="107"/>
      <c r="E76" s="238"/>
      <c r="F76" s="106"/>
      <c r="G76" s="228"/>
      <c r="H76" s="81"/>
      <c r="I76" s="123"/>
      <c r="J76" s="123"/>
      <c r="K76" s="123"/>
      <c r="L76" s="123"/>
      <c r="M76" s="123"/>
      <c r="N76" s="123"/>
      <c r="O76" s="123"/>
      <c r="P76" s="123"/>
      <c r="Q76" s="123"/>
      <c r="R76" s="123"/>
      <c r="S76" s="123"/>
      <c r="T76" s="123"/>
      <c r="U76" s="123"/>
      <c r="V76" s="123"/>
      <c r="W76" s="123"/>
      <c r="X76" s="123"/>
      <c r="Y76" s="123"/>
      <c r="Z76" s="123"/>
      <c r="AA76" s="123"/>
      <c r="AB76" s="123"/>
      <c r="AC76" s="123" t="s">
        <v>38</v>
      </c>
      <c r="AD76" s="123" t="s">
        <v>38</v>
      </c>
      <c r="AE76" s="123" t="s">
        <v>38</v>
      </c>
      <c r="AF76" s="123" t="s">
        <v>38</v>
      </c>
      <c r="AG76" s="123" t="s">
        <v>38</v>
      </c>
      <c r="AH76" s="123" t="s">
        <v>38</v>
      </c>
      <c r="AI76" s="123" t="s">
        <v>38</v>
      </c>
      <c r="AJ76" s="123" t="s">
        <v>38</v>
      </c>
      <c r="AK76" s="126"/>
      <c r="AL76" s="126"/>
      <c r="AM76" s="105"/>
    </row>
    <row r="77" spans="1:39" ht="15" hidden="1" customHeight="1" outlineLevel="1" x14ac:dyDescent="0.25">
      <c r="A77" s="105"/>
      <c r="B77" s="107"/>
      <c r="C77" s="107"/>
      <c r="D77" s="107"/>
      <c r="E77" s="238"/>
      <c r="F77" s="106"/>
      <c r="G77" s="228"/>
      <c r="H77" s="81"/>
      <c r="I77" s="124"/>
      <c r="J77" s="124"/>
      <c r="K77" s="124"/>
      <c r="L77" s="124"/>
      <c r="M77" s="124"/>
      <c r="N77" s="124"/>
      <c r="O77" s="124"/>
      <c r="P77" s="124"/>
      <c r="Q77" s="124"/>
      <c r="R77" s="124"/>
      <c r="S77" s="124"/>
      <c r="T77" s="124"/>
      <c r="U77" s="124"/>
      <c r="V77" s="124"/>
      <c r="W77" s="124"/>
      <c r="X77" s="124"/>
      <c r="Y77" s="124"/>
      <c r="Z77" s="124"/>
      <c r="AA77" s="124"/>
      <c r="AB77" s="124"/>
      <c r="AC77" s="124">
        <f ca="1">_xlfn.XLOOKUP(AC$76,Scenarios,'Ramp Scenarios'!$C$3:$C$11)*SUM(AC70:AC70)-SUM(AC70:AC70)</f>
        <v>0</v>
      </c>
      <c r="AD77" s="124">
        <f ca="1">_xlfn.XLOOKUP(AD$76,Scenarios,'Ramp Scenarios'!$C$3:$C$11)*SUM(AD70:AD70)-SUM(AD70:AD70)</f>
        <v>0</v>
      </c>
      <c r="AE77" s="124">
        <f ca="1">_xlfn.XLOOKUP(AE$76,Scenarios,'Ramp Scenarios'!$C$3:$C$11)*SUM(AE70:AE70)-SUM(AE70:AE70)</f>
        <v>0</v>
      </c>
      <c r="AF77" s="124">
        <f ca="1">_xlfn.XLOOKUP(AF$76,Scenarios,'Ramp Scenarios'!$C$3:$C$11)*SUM(AF70:AF70)-SUM(AF70:AF70)</f>
        <v>0</v>
      </c>
      <c r="AG77" s="124">
        <f ca="1">_xlfn.XLOOKUP(AG$76,Scenarios,'Ramp Scenarios'!$C$3:$C$11)*SUM(AG70:AG70)-SUM(AG70:AG70)</f>
        <v>0</v>
      </c>
      <c r="AH77" s="124">
        <f ca="1">_xlfn.XLOOKUP(AH$76,Scenarios,'Ramp Scenarios'!$C$3:$C$11)*SUM(AH70:AH70)-SUM(AH70:AH70)</f>
        <v>0</v>
      </c>
      <c r="AI77" s="124">
        <f ca="1">_xlfn.XLOOKUP(AI$76,Scenarios,'Ramp Scenarios'!$C$3:$C$11)*SUM(AI70:AI70)-SUM(AI70:AI70)</f>
        <v>0</v>
      </c>
      <c r="AJ77" s="124">
        <f ca="1">_xlfn.XLOOKUP(AJ$76,Scenarios,'Ramp Scenarios'!$C$3:$C$11)*SUM(AJ70:AJ70)-SUM(AJ70:AJ70)</f>
        <v>0</v>
      </c>
      <c r="AK77" s="126"/>
      <c r="AL77" s="126"/>
      <c r="AM77" s="105"/>
    </row>
    <row r="78" spans="1:39" ht="15" hidden="1" customHeight="1" outlineLevel="1" x14ac:dyDescent="0.25">
      <c r="A78" s="105"/>
      <c r="B78" s="107"/>
      <c r="C78" s="107"/>
      <c r="D78" s="107"/>
      <c r="E78" s="238"/>
      <c r="F78" s="106"/>
      <c r="G78" s="228"/>
      <c r="H78" s="81"/>
      <c r="I78" s="119"/>
      <c r="J78" s="119"/>
      <c r="K78" s="119"/>
      <c r="L78" s="119"/>
      <c r="M78" s="119"/>
      <c r="N78" s="119"/>
      <c r="O78" s="119"/>
      <c r="P78" s="119"/>
      <c r="Q78" s="119"/>
      <c r="R78" s="119"/>
      <c r="S78" s="119"/>
      <c r="T78" s="119"/>
      <c r="U78" s="119"/>
      <c r="V78" s="119"/>
      <c r="W78" s="119"/>
      <c r="X78" s="119"/>
      <c r="Y78" s="119"/>
      <c r="Z78" s="119"/>
      <c r="AA78" s="119"/>
      <c r="AB78" s="119"/>
      <c r="AC78" s="119" t="e">
        <f ca="1">(AC73)*_xlfn.XLOOKUP(AC76,Scenarios,'Ramp Scenarios'!$C$3:$C$11)</f>
        <v>#REF!</v>
      </c>
      <c r="AD78" s="119" t="e">
        <f ca="1">(AD73)*_xlfn.XLOOKUP(AD76,Scenarios,'Ramp Scenarios'!$C$3:$C$11)</f>
        <v>#REF!</v>
      </c>
      <c r="AE78" s="119" t="e">
        <f ca="1">(AE73)*_xlfn.XLOOKUP(AE76,Scenarios,'Ramp Scenarios'!$C$3:$C$11)</f>
        <v>#REF!</v>
      </c>
      <c r="AF78" s="119" t="e">
        <f ca="1">(AF73)*_xlfn.XLOOKUP(AF76,Scenarios,'Ramp Scenarios'!$C$3:$C$11)</f>
        <v>#REF!</v>
      </c>
      <c r="AG78" s="119" t="e">
        <f ca="1">(AG73)*_xlfn.XLOOKUP(AG76,Scenarios,'Ramp Scenarios'!$C$3:$C$11)</f>
        <v>#REF!</v>
      </c>
      <c r="AH78" s="119" t="e">
        <f ca="1">(AH73)*_xlfn.XLOOKUP(AH76,Scenarios,'Ramp Scenarios'!$C$3:$C$11)</f>
        <v>#REF!</v>
      </c>
      <c r="AI78" s="119" t="e">
        <f ca="1">(AI73)*_xlfn.XLOOKUP(AI76,Scenarios,'Ramp Scenarios'!$C$3:$C$11)</f>
        <v>#REF!</v>
      </c>
      <c r="AJ78" s="119" t="e">
        <f ca="1">(AJ73)*_xlfn.XLOOKUP(AJ76,Scenarios,'Ramp Scenarios'!$C$3:$C$11)</f>
        <v>#REF!</v>
      </c>
      <c r="AK78" s="63"/>
      <c r="AL78" s="63"/>
      <c r="AM78" s="105"/>
    </row>
    <row r="79" spans="1:39" collapsed="1" x14ac:dyDescent="0.25">
      <c r="A79" s="105"/>
      <c r="B79" s="107"/>
      <c r="C79" s="107"/>
      <c r="D79" s="107"/>
      <c r="E79" s="238"/>
      <c r="F79" s="106"/>
      <c r="G79" s="228"/>
      <c r="H79" s="81"/>
      <c r="I79" s="119"/>
      <c r="J79" s="119"/>
      <c r="K79" s="119"/>
      <c r="L79" s="119"/>
      <c r="M79" s="119"/>
      <c r="N79" s="119"/>
      <c r="O79" s="119"/>
      <c r="P79" s="119"/>
      <c r="Q79" s="119"/>
      <c r="R79" s="119"/>
      <c r="S79" s="119"/>
      <c r="T79" s="119"/>
      <c r="U79" s="119"/>
      <c r="V79" s="119"/>
      <c r="W79" s="119"/>
      <c r="X79" s="119"/>
      <c r="Y79" s="119"/>
      <c r="Z79" s="119"/>
      <c r="AA79" s="119"/>
      <c r="AB79" s="119"/>
      <c r="AC79" s="119" t="e">
        <f t="shared" ref="AC79:AJ79" ca="1" si="10">AC78+AC72</f>
        <v>#REF!</v>
      </c>
      <c r="AD79" s="119" t="e">
        <f t="shared" ca="1" si="10"/>
        <v>#REF!</v>
      </c>
      <c r="AE79" s="119" t="e">
        <f t="shared" ca="1" si="10"/>
        <v>#REF!</v>
      </c>
      <c r="AF79" s="119" t="e">
        <f t="shared" ca="1" si="10"/>
        <v>#REF!</v>
      </c>
      <c r="AG79" s="119" t="e">
        <f t="shared" ca="1" si="10"/>
        <v>#REF!</v>
      </c>
      <c r="AH79" s="119" t="e">
        <f t="shared" ca="1" si="10"/>
        <v>#REF!</v>
      </c>
      <c r="AI79" s="119" t="e">
        <f t="shared" ca="1" si="10"/>
        <v>#REF!</v>
      </c>
      <c r="AJ79" s="119" t="e">
        <f t="shared" ca="1" si="10"/>
        <v>#REF!</v>
      </c>
      <c r="AK79" s="63"/>
      <c r="AL79" s="63"/>
      <c r="AM79" s="105"/>
    </row>
    <row r="80" spans="1:39" x14ac:dyDescent="0.25">
      <c r="C80" s="60"/>
      <c r="D80" s="60"/>
      <c r="E80" s="60"/>
      <c r="F80" s="60"/>
      <c r="G80" s="60"/>
      <c r="H80" s="66"/>
    </row>
    <row r="81" spans="3:38" x14ac:dyDescent="0.25">
      <c r="C81" s="60"/>
      <c r="G81" s="60"/>
      <c r="H81" s="67"/>
      <c r="AK81" s="61"/>
      <c r="AL81" s="61"/>
    </row>
    <row r="82" spans="3:38" x14ac:dyDescent="0.25">
      <c r="C82" s="60"/>
      <c r="G82" s="60"/>
      <c r="H82" s="67"/>
      <c r="L82" s="84"/>
    </row>
    <row r="83" spans="3:38" x14ac:dyDescent="0.25">
      <c r="C83" s="60"/>
      <c r="G83" s="60"/>
      <c r="H83" s="67"/>
      <c r="I83" s="4"/>
      <c r="J83" s="4"/>
      <c r="K83" s="4"/>
      <c r="L83" s="85"/>
    </row>
    <row r="84" spans="3:38" x14ac:dyDescent="0.25">
      <c r="C84" s="60"/>
      <c r="G84" s="60"/>
      <c r="H84" s="67"/>
      <c r="I84" s="4"/>
      <c r="J84" s="4"/>
      <c r="K84" s="4"/>
      <c r="L84" s="86"/>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row>
    <row r="85" spans="3:38" x14ac:dyDescent="0.25">
      <c r="C85" s="60"/>
      <c r="G85" s="60"/>
      <c r="H85" s="67"/>
      <c r="I85" s="4"/>
      <c r="J85" s="4"/>
      <c r="K85" s="4"/>
      <c r="L85" s="87"/>
    </row>
    <row r="86" spans="3:38" x14ac:dyDescent="0.25">
      <c r="C86" s="60"/>
      <c r="G86" s="7"/>
      <c r="H86" s="67"/>
      <c r="I86" s="4"/>
      <c r="J86" s="4"/>
      <c r="K86" s="4"/>
      <c r="L86" s="88"/>
    </row>
    <row r="87" spans="3:38" x14ac:dyDescent="0.25">
      <c r="C87" s="60"/>
      <c r="G87" s="7"/>
      <c r="H87" s="67"/>
      <c r="I87" s="4"/>
      <c r="J87" s="4"/>
      <c r="K87" s="4"/>
      <c r="L87" s="4"/>
    </row>
    <row r="88" spans="3:38" x14ac:dyDescent="0.25">
      <c r="C88" s="60"/>
      <c r="G88" s="60"/>
      <c r="H88" s="67"/>
      <c r="I88" s="4"/>
      <c r="J88" s="4"/>
      <c r="K88" s="4"/>
      <c r="L88" s="4"/>
    </row>
    <row r="89" spans="3:38" x14ac:dyDescent="0.25">
      <c r="C89" s="60"/>
      <c r="G89" s="62"/>
      <c r="I89" s="4"/>
      <c r="J89" s="4"/>
      <c r="K89" s="4"/>
      <c r="L89" s="4"/>
    </row>
    <row r="90" spans="3:38" x14ac:dyDescent="0.25">
      <c r="C90" s="60"/>
      <c r="G90" s="62"/>
      <c r="I90" s="4"/>
      <c r="J90" s="4"/>
      <c r="K90" s="4"/>
      <c r="L90" s="4"/>
    </row>
    <row r="91" spans="3:38" x14ac:dyDescent="0.25">
      <c r="C91" s="60"/>
      <c r="G91" s="62"/>
      <c r="I91" s="4"/>
      <c r="J91" s="4"/>
      <c r="K91" s="4"/>
      <c r="L91" s="4"/>
    </row>
    <row r="92" spans="3:38" x14ac:dyDescent="0.25">
      <c r="D92" s="62"/>
      <c r="E92" s="239"/>
      <c r="F92" s="62"/>
      <c r="G92" s="62"/>
      <c r="I92" s="4"/>
      <c r="J92" s="4"/>
      <c r="K92" s="4"/>
      <c r="L92" s="4"/>
    </row>
    <row r="93" spans="3:38" x14ac:dyDescent="0.25">
      <c r="D93" s="62"/>
      <c r="E93" s="239"/>
      <c r="F93" s="62"/>
      <c r="G93" s="62"/>
      <c r="I93" s="4"/>
      <c r="J93" s="4"/>
      <c r="K93" s="4"/>
      <c r="L93" s="4"/>
    </row>
    <row r="94" spans="3:38" x14ac:dyDescent="0.25">
      <c r="D94" s="62"/>
      <c r="E94" s="239"/>
      <c r="F94" s="62"/>
      <c r="G94" s="62"/>
      <c r="I94" s="4"/>
      <c r="J94" s="4"/>
      <c r="K94" s="4"/>
      <c r="L94" s="4"/>
    </row>
    <row r="95" spans="3:38" x14ac:dyDescent="0.25">
      <c r="D95" s="62"/>
      <c r="E95" s="239"/>
      <c r="F95" s="62"/>
      <c r="G95" s="62"/>
      <c r="I95" s="4"/>
      <c r="J95" s="4"/>
      <c r="K95" s="4"/>
      <c r="L95" s="4"/>
    </row>
    <row r="96" spans="3:38" x14ac:dyDescent="0.25">
      <c r="D96" s="62"/>
      <c r="E96" s="239"/>
      <c r="F96" s="62"/>
      <c r="G96" s="62"/>
      <c r="I96" s="4"/>
      <c r="J96" s="4"/>
      <c r="K96" s="4"/>
      <c r="L96" s="4"/>
    </row>
    <row r="97" spans="4:12" x14ac:dyDescent="0.25">
      <c r="D97" s="62"/>
      <c r="E97" s="239"/>
      <c r="F97" s="62"/>
      <c r="G97" s="62"/>
      <c r="I97" s="4"/>
      <c r="J97" s="4"/>
      <c r="K97" s="4"/>
      <c r="L97" s="4"/>
    </row>
    <row r="98" spans="4:12" x14ac:dyDescent="0.25">
      <c r="D98" s="62"/>
      <c r="E98" s="239"/>
      <c r="F98" s="62"/>
      <c r="G98" s="62"/>
      <c r="I98" s="4"/>
      <c r="J98" s="4"/>
      <c r="K98" s="4"/>
      <c r="L98" s="4"/>
    </row>
    <row r="99" spans="4:12" x14ac:dyDescent="0.25">
      <c r="D99" s="62"/>
      <c r="E99" s="239"/>
      <c r="F99" s="62"/>
      <c r="G99" s="62"/>
      <c r="I99" s="4"/>
      <c r="J99" s="4"/>
      <c r="K99" s="4"/>
      <c r="L99" s="4"/>
    </row>
    <row r="100" spans="4:12" x14ac:dyDescent="0.25">
      <c r="D100" s="62"/>
      <c r="E100" s="239"/>
      <c r="F100" s="62"/>
      <c r="G100" s="62"/>
      <c r="I100" s="4"/>
      <c r="J100" s="4"/>
      <c r="K100" s="4"/>
      <c r="L100" s="4"/>
    </row>
    <row r="101" spans="4:12" x14ac:dyDescent="0.25">
      <c r="D101" s="62"/>
      <c r="E101" s="239"/>
      <c r="F101" s="62"/>
      <c r="G101" s="62"/>
      <c r="I101" s="4"/>
      <c r="J101" s="4"/>
      <c r="K101" s="4"/>
      <c r="L101" s="4"/>
    </row>
    <row r="102" spans="4:12" x14ac:dyDescent="0.25">
      <c r="D102" s="62"/>
      <c r="E102" s="239"/>
      <c r="F102" s="62"/>
      <c r="G102" s="62"/>
      <c r="I102" s="4"/>
      <c r="J102" s="4"/>
      <c r="K102" s="4"/>
      <c r="L102" s="4"/>
    </row>
    <row r="103" spans="4:12" x14ac:dyDescent="0.25">
      <c r="D103" s="62"/>
      <c r="E103" s="239"/>
      <c r="F103" s="62"/>
      <c r="G103" s="62"/>
      <c r="I103" s="4"/>
      <c r="J103" s="4"/>
      <c r="K103" s="4"/>
      <c r="L103" s="4"/>
    </row>
    <row r="104" spans="4:12" x14ac:dyDescent="0.25">
      <c r="D104" s="62"/>
      <c r="E104" s="239"/>
      <c r="F104" s="62"/>
      <c r="G104" s="62"/>
      <c r="I104" s="4"/>
      <c r="J104" s="4"/>
      <c r="K104" s="4"/>
      <c r="L104" s="4"/>
    </row>
    <row r="105" spans="4:12" x14ac:dyDescent="0.25">
      <c r="D105" s="62"/>
      <c r="E105" s="239"/>
      <c r="F105" s="62"/>
      <c r="G105" s="62"/>
      <c r="I105" s="4"/>
      <c r="J105" s="4"/>
      <c r="K105" s="4"/>
      <c r="L105" s="4"/>
    </row>
    <row r="106" spans="4:12" x14ac:dyDescent="0.25">
      <c r="D106" s="62"/>
      <c r="E106" s="239"/>
      <c r="F106" s="62"/>
      <c r="G106" s="62"/>
      <c r="I106" s="4"/>
      <c r="J106" s="4"/>
      <c r="K106" s="4"/>
      <c r="L106" s="4"/>
    </row>
    <row r="107" spans="4:12" x14ac:dyDescent="0.25">
      <c r="D107" s="62"/>
      <c r="E107" s="239"/>
      <c r="F107" s="62"/>
      <c r="G107" s="62"/>
      <c r="I107" s="4"/>
      <c r="J107" s="4"/>
      <c r="K107" s="4"/>
      <c r="L107" s="4"/>
    </row>
    <row r="108" spans="4:12" x14ac:dyDescent="0.25">
      <c r="D108" s="62"/>
      <c r="E108" s="239"/>
      <c r="F108" s="62"/>
      <c r="G108" s="62"/>
      <c r="I108" s="4"/>
      <c r="J108" s="4"/>
      <c r="K108" s="4"/>
      <c r="L108" s="4"/>
    </row>
    <row r="109" spans="4:12" x14ac:dyDescent="0.25">
      <c r="D109" s="62"/>
      <c r="E109" s="239"/>
      <c r="F109" s="62"/>
      <c r="G109" s="62"/>
      <c r="I109" s="4"/>
      <c r="J109" s="4"/>
      <c r="K109" s="4"/>
      <c r="L109" s="4"/>
    </row>
    <row r="110" spans="4:12" x14ac:dyDescent="0.25">
      <c r="D110" s="62"/>
      <c r="E110" s="239"/>
      <c r="F110" s="62"/>
      <c r="G110" s="62"/>
      <c r="I110" s="4"/>
      <c r="J110" s="4"/>
      <c r="K110" s="4"/>
      <c r="L110" s="4"/>
    </row>
    <row r="111" spans="4:12" x14ac:dyDescent="0.25">
      <c r="D111" s="62"/>
      <c r="E111" s="239"/>
      <c r="F111" s="62"/>
      <c r="G111" s="62"/>
      <c r="I111" s="4"/>
      <c r="J111" s="4"/>
      <c r="K111" s="4"/>
      <c r="L111" s="4"/>
    </row>
    <row r="112" spans="4:12" x14ac:dyDescent="0.25">
      <c r="I112" s="4"/>
      <c r="J112" s="4"/>
      <c r="K112" s="4"/>
      <c r="L112" s="4"/>
    </row>
    <row r="113" spans="9:12" x14ac:dyDescent="0.25">
      <c r="I113" s="4"/>
      <c r="J113" s="4"/>
      <c r="K113" s="4"/>
      <c r="L113" s="4"/>
    </row>
    <row r="114" spans="9:12" x14ac:dyDescent="0.25">
      <c r="I114" s="4"/>
      <c r="J114" s="4"/>
      <c r="K114" s="4"/>
      <c r="L114" s="4"/>
    </row>
    <row r="115" spans="9:12" x14ac:dyDescent="0.25">
      <c r="I115" s="4"/>
      <c r="J115" s="4"/>
      <c r="K115" s="4"/>
      <c r="L115" s="4"/>
    </row>
    <row r="116" spans="9:12" x14ac:dyDescent="0.25">
      <c r="I116" s="4"/>
      <c r="J116" s="4"/>
      <c r="K116" s="4"/>
      <c r="L116" s="4"/>
    </row>
    <row r="117" spans="9:12" x14ac:dyDescent="0.25">
      <c r="I117" s="4"/>
      <c r="J117" s="4"/>
      <c r="K117" s="4"/>
      <c r="L117" s="4"/>
    </row>
    <row r="118" spans="9:12" x14ac:dyDescent="0.25">
      <c r="I118" s="4"/>
      <c r="J118" s="4"/>
      <c r="K118" s="4"/>
      <c r="L118" s="4"/>
    </row>
    <row r="119" spans="9:12" x14ac:dyDescent="0.25">
      <c r="I119" s="4"/>
      <c r="J119" s="4"/>
      <c r="K119" s="4"/>
      <c r="L119" s="4"/>
    </row>
    <row r="120" spans="9:12" x14ac:dyDescent="0.25">
      <c r="I120" s="4"/>
      <c r="J120" s="4"/>
      <c r="K120" s="4"/>
      <c r="L120" s="4"/>
    </row>
    <row r="121" spans="9:12" x14ac:dyDescent="0.25">
      <c r="I121" s="4"/>
      <c r="J121" s="4"/>
      <c r="K121" s="4"/>
      <c r="L121" s="4"/>
    </row>
  </sheetData>
  <sheetProtection autoFilter="0"/>
  <autoFilter ref="A13:AM67" xr:uid="{8E2E9790-3457-4594-B244-8601F9C882DA}"/>
  <mergeCells count="26">
    <mergeCell ref="C72:F72"/>
    <mergeCell ref="G72:G74"/>
    <mergeCell ref="A73:B73"/>
    <mergeCell ref="C73:F73"/>
    <mergeCell ref="C74:F74"/>
    <mergeCell ref="G75:G79"/>
    <mergeCell ref="U12:X12"/>
    <mergeCell ref="Y12:AB12"/>
    <mergeCell ref="AC12:AF12"/>
    <mergeCell ref="AG12:AJ12"/>
    <mergeCell ref="A69:F69"/>
    <mergeCell ref="G69:G71"/>
    <mergeCell ref="A70:B70"/>
    <mergeCell ref="C70:F70"/>
    <mergeCell ref="A71:B71"/>
    <mergeCell ref="C71:F71"/>
    <mergeCell ref="A10:C10"/>
    <mergeCell ref="D10:H10"/>
    <mergeCell ref="AM10:AM12"/>
    <mergeCell ref="A11:B12"/>
    <mergeCell ref="C11:C12"/>
    <mergeCell ref="D11:H11"/>
    <mergeCell ref="D12:H12"/>
    <mergeCell ref="I12:L12"/>
    <mergeCell ref="M12:P12"/>
    <mergeCell ref="Q12:T12"/>
  </mergeCells>
  <conditionalFormatting sqref="A9:AM9">
    <cfRule type="expression" dxfId="12" priority="15">
      <formula>$AM$10="MS Project"</formula>
    </cfRule>
    <cfRule type="expression" dxfId="11" priority="16">
      <formula>$AM$10="Complete"</formula>
    </cfRule>
    <cfRule type="expression" dxfId="10" priority="17">
      <formula>$AM$10="In Progress"</formula>
    </cfRule>
  </conditionalFormatting>
  <conditionalFormatting sqref="B14:H67">
    <cfRule type="expression" dxfId="9" priority="7">
      <formula>AND(#REF!&gt;0,$B14="")</formula>
    </cfRule>
  </conditionalFormatting>
  <conditionalFormatting sqref="H14:AJ67">
    <cfRule type="expression" dxfId="8" priority="1">
      <formula>SEARCH("inc",$H14,1)=1</formula>
    </cfRule>
  </conditionalFormatting>
  <conditionalFormatting sqref="I14:AJ67">
    <cfRule type="expression" dxfId="7" priority="2">
      <formula>$AM$10="MS Project"</formula>
    </cfRule>
    <cfRule type="expression" dxfId="6" priority="3">
      <formula>$AM$10="Complete"</formula>
    </cfRule>
  </conditionalFormatting>
  <conditionalFormatting sqref="I71:AJ71">
    <cfRule type="colorScale" priority="8">
      <colorScale>
        <cfvo type="min"/>
        <cfvo type="max"/>
        <color theme="1" tint="0.249977111117893"/>
        <color rgb="FFC00000"/>
      </colorScale>
    </cfRule>
  </conditionalFormatting>
  <conditionalFormatting sqref="I75:AJ75">
    <cfRule type="cellIs" dxfId="5" priority="9" operator="greaterThan">
      <formula>15</formula>
    </cfRule>
    <cfRule type="cellIs" dxfId="4" priority="10" operator="greaterThan">
      <formula>10</formula>
    </cfRule>
    <cfRule type="cellIs" dxfId="3" priority="11" operator="greaterThan">
      <formula>4</formula>
    </cfRule>
  </conditionalFormatting>
  <conditionalFormatting sqref="AM10:AM11">
    <cfRule type="cellIs" dxfId="2" priority="12" operator="equal">
      <formula>"MS Project"</formula>
    </cfRule>
    <cfRule type="cellIs" dxfId="1" priority="13" operator="equal">
      <formula>"In Progress"</formula>
    </cfRule>
    <cfRule type="cellIs" dxfId="0" priority="14" operator="equal">
      <formula>"Complete"</formula>
    </cfRule>
  </conditionalFormatting>
  <dataValidations count="7">
    <dataValidation type="list" allowBlank="1" showInputMessage="1" showErrorMessage="1" sqref="AM10:AM11" xr:uid="{D6D47198-01E6-4F36-94B6-5CBCD53875AF}">
      <formula1>Status</formula1>
    </dataValidation>
    <dataValidation type="list" allowBlank="1" showInputMessage="1" showErrorMessage="1" sqref="I76:AJ76" xr:uid="{A225EE40-4CCB-47A3-A251-55E1A1825960}">
      <formula1>Scenarios</formula1>
    </dataValidation>
    <dataValidation type="list" allowBlank="1" showErrorMessage="1" errorTitle="Invalid" error="Please select a valid entry" prompt="Select allocation file" sqref="G14:G67" xr:uid="{CDE4265C-FBBB-4DCC-8632-0FBAEFE7C995}">
      <formula1>INDIRECT(B14)</formula1>
    </dataValidation>
    <dataValidation type="list" allowBlank="1" showErrorMessage="1" errorTitle="Invalid" error="Please select a valid entry" sqref="C14:C67" xr:uid="{0C9DB19F-A18D-4B82-8299-04AB6A4B9F80}">
      <formula1>INDIRECT($B14&amp;"Team")</formula1>
    </dataValidation>
    <dataValidation type="list" allowBlank="1" showErrorMessage="1" errorTitle="Invalid" error="Please select a valid entry" sqref="B14:B67" xr:uid="{AA1F3A7C-C474-45FD-AFA2-2EDE6D4B8AE7}">
      <formula1>CVP</formula1>
    </dataValidation>
    <dataValidation type="list" allowBlank="1" showInputMessage="1" showErrorMessage="1" sqref="F14:F67" xr:uid="{D8DED2EC-BAF8-4A80-9975-4CB183C95DD3}">
      <formula1>Location</formula1>
    </dataValidation>
    <dataValidation type="list" allowBlank="1" showErrorMessage="1" errorTitle="Invalid" error="Please select a valid entry" sqref="H14:H67" xr:uid="{BA2175B7-57BC-465E-8718-E21F6F4850A7}">
      <formula1>HCType</formula1>
    </dataValidation>
  </dataValidations>
  <pageMargins left="0.7" right="0.7" top="0.75" bottom="0.75" header="0.3" footer="0.3"/>
  <pageSetup orientation="portrait" r:id="rId1"/>
  <headerFooter>
    <oddHeader>&amp;L&amp;"Calibri"&amp;10&amp;K0000FF [AMD Official Use Only - AMD Internal Distribution Only]&amp;1#_x000D_</oddHeader>
  </headerFooter>
  <drawing r:id="rId2"/>
  <extLst>
    <ext xmlns:x14="http://schemas.microsoft.com/office/spreadsheetml/2009/9/main" uri="{05C60535-1F16-4fd2-B633-F4F36F0B64E0}">
      <x14:sparklineGroups xmlns:xm="http://schemas.microsoft.com/office/excel/2006/main">
        <x14:sparklineGroup type="column" displayEmptyCellsAs="gap" high="1" minAxisType="group" xr2:uid="{54BE8CA1-77D1-492B-B804-A98EB234A10A}">
          <x14:colorSeries rgb="FF5F5F5F"/>
          <x14:colorNegative rgb="FFFFB620"/>
          <x14:colorAxis rgb="FF000000"/>
          <x14:colorMarkers rgb="FFD70077"/>
          <x14:colorFirst rgb="FF5687C2"/>
          <x14:colorLast rgb="FF359CEB"/>
          <x14:colorHigh rgb="FF56BE79"/>
          <x14:colorLow rgb="FFFF5055"/>
          <x14:sparklines>
            <x14:sparkline>
              <xm:f>'Capitola v1.0 r2 (PAVS)'!I14:AJ14</xm:f>
              <xm:sqref>AM14</xm:sqref>
            </x14:sparkline>
            <x14:sparkline>
              <xm:f>'Capitola v1.0 r2 (PAVS)'!I15:AJ15</xm:f>
              <xm:sqref>AM15</xm:sqref>
            </x14:sparkline>
            <x14:sparkline>
              <xm:f>'Capitola v1.0 r2 (PAVS)'!I16:AJ16</xm:f>
              <xm:sqref>AM16</xm:sqref>
            </x14:sparkline>
            <x14:sparkline>
              <xm:f>'Capitola v1.0 r2 (PAVS)'!I17:AJ17</xm:f>
              <xm:sqref>AM17</xm:sqref>
            </x14:sparkline>
            <x14:sparkline>
              <xm:f>'Capitola v1.0 r2 (PAVS)'!I18:AJ18</xm:f>
              <xm:sqref>AM18</xm:sqref>
            </x14:sparkline>
            <x14:sparkline>
              <xm:f>'Capitola v1.0 r2 (PAVS)'!I19:AJ19</xm:f>
              <xm:sqref>AM19</xm:sqref>
            </x14:sparkline>
            <x14:sparkline>
              <xm:f>'Capitola v1.0 r2 (PAVS)'!I20:AJ20</xm:f>
              <xm:sqref>AM20</xm:sqref>
            </x14:sparkline>
            <x14:sparkline>
              <xm:f>'Capitola v1.0 r2 (PAVS)'!I21:AJ21</xm:f>
              <xm:sqref>AM21</xm:sqref>
            </x14:sparkline>
            <x14:sparkline>
              <xm:f>'Capitola v1.0 r2 (PAVS)'!I22:AJ22</xm:f>
              <xm:sqref>AM22</xm:sqref>
            </x14:sparkline>
            <x14:sparkline>
              <xm:f>'Capitola v1.0 r2 (PAVS)'!I23:AJ23</xm:f>
              <xm:sqref>AM23</xm:sqref>
            </x14:sparkline>
            <x14:sparkline>
              <xm:f>'Capitola v1.0 r2 (PAVS)'!I24:AJ24</xm:f>
              <xm:sqref>AM24</xm:sqref>
            </x14:sparkline>
            <x14:sparkline>
              <xm:f>'Capitola v1.0 r2 (PAVS)'!I25:AJ25</xm:f>
              <xm:sqref>AM25</xm:sqref>
            </x14:sparkline>
            <x14:sparkline>
              <xm:f>'Capitola v1.0 r2 (PAVS)'!I26:AJ26</xm:f>
              <xm:sqref>AM26</xm:sqref>
            </x14:sparkline>
            <x14:sparkline>
              <xm:f>'Capitola v1.0 r2 (PAVS)'!I27:AJ27</xm:f>
              <xm:sqref>AM27</xm:sqref>
            </x14:sparkline>
            <x14:sparkline>
              <xm:f>'Capitola v1.0 r2 (PAVS)'!I28:AJ28</xm:f>
              <xm:sqref>AM28</xm:sqref>
            </x14:sparkline>
            <x14:sparkline>
              <xm:f>'Capitola v1.0 r2 (PAVS)'!I29:AJ29</xm:f>
              <xm:sqref>AM29</xm:sqref>
            </x14:sparkline>
            <x14:sparkline>
              <xm:f>'Capitola v1.0 r2 (PAVS)'!I30:AJ30</xm:f>
              <xm:sqref>AM30</xm:sqref>
            </x14:sparkline>
            <x14:sparkline>
              <xm:f>'Capitola v1.0 r2 (PAVS)'!I31:AJ31</xm:f>
              <xm:sqref>AM31</xm:sqref>
            </x14:sparkline>
            <x14:sparkline>
              <xm:f>'Capitola v1.0 r2 (PAVS)'!I32:AJ32</xm:f>
              <xm:sqref>AM32</xm:sqref>
            </x14:sparkline>
            <x14:sparkline>
              <xm:f>'Capitola v1.0 r2 (PAVS)'!I33:AJ33</xm:f>
              <xm:sqref>AM33</xm:sqref>
            </x14:sparkline>
            <x14:sparkline>
              <xm:f>'Capitola v1.0 r2 (PAVS)'!I34:AJ34</xm:f>
              <xm:sqref>AM34</xm:sqref>
            </x14:sparkline>
            <x14:sparkline>
              <xm:f>'Capitola v1.0 r2 (PAVS)'!I35:AJ35</xm:f>
              <xm:sqref>AM35</xm:sqref>
            </x14:sparkline>
            <x14:sparkline>
              <xm:f>'Capitola v1.0 r2 (PAVS)'!I36:AJ36</xm:f>
              <xm:sqref>AM36</xm:sqref>
            </x14:sparkline>
            <x14:sparkline>
              <xm:f>'Capitola v1.0 r2 (PAVS)'!I37:AJ37</xm:f>
              <xm:sqref>AM37</xm:sqref>
            </x14:sparkline>
            <x14:sparkline>
              <xm:f>'Capitola v1.0 r2 (PAVS)'!I38:AJ38</xm:f>
              <xm:sqref>AM38</xm:sqref>
            </x14:sparkline>
            <x14:sparkline>
              <xm:f>'Capitola v1.0 r2 (PAVS)'!I39:AJ39</xm:f>
              <xm:sqref>AM39</xm:sqref>
            </x14:sparkline>
            <x14:sparkline>
              <xm:f>'Capitola v1.0 r2 (PAVS)'!I40:AJ40</xm:f>
              <xm:sqref>AM40</xm:sqref>
            </x14:sparkline>
            <x14:sparkline>
              <xm:f>'Capitola v1.0 r2 (PAVS)'!I41:AJ41</xm:f>
              <xm:sqref>AM41</xm:sqref>
            </x14:sparkline>
            <x14:sparkline>
              <xm:f>'Capitola v1.0 r2 (PAVS)'!I42:AJ42</xm:f>
              <xm:sqref>AM42</xm:sqref>
            </x14:sparkline>
            <x14:sparkline>
              <xm:f>'Capitola v1.0 r2 (PAVS)'!I43:AJ43</xm:f>
              <xm:sqref>AM43</xm:sqref>
            </x14:sparkline>
            <x14:sparkline>
              <xm:f>'Capitola v1.0 r2 (PAVS)'!I44:AJ44</xm:f>
              <xm:sqref>AM44</xm:sqref>
            </x14:sparkline>
            <x14:sparkline>
              <xm:f>'Capitola v1.0 r2 (PAVS)'!I45:AJ45</xm:f>
              <xm:sqref>AM45</xm:sqref>
            </x14:sparkline>
            <x14:sparkline>
              <xm:f>'Capitola v1.0 r2 (PAVS)'!I46:AJ46</xm:f>
              <xm:sqref>AM46</xm:sqref>
            </x14:sparkline>
            <x14:sparkline>
              <xm:f>'Capitola v1.0 r2 (PAVS)'!I47:AJ47</xm:f>
              <xm:sqref>AM47</xm:sqref>
            </x14:sparkline>
            <x14:sparkline>
              <xm:f>'Capitola v1.0 r2 (PAVS)'!I48:AJ48</xm:f>
              <xm:sqref>AM48</xm:sqref>
            </x14:sparkline>
            <x14:sparkline>
              <xm:f>'Capitola v1.0 r2 (PAVS)'!I49:AJ49</xm:f>
              <xm:sqref>AM49</xm:sqref>
            </x14:sparkline>
            <x14:sparkline>
              <xm:f>'Capitola v1.0 r2 (PAVS)'!I50:AJ50</xm:f>
              <xm:sqref>AM50</xm:sqref>
            </x14:sparkline>
            <x14:sparkline>
              <xm:f>'Capitola v1.0 r2 (PAVS)'!I51:AJ51</xm:f>
              <xm:sqref>AM51</xm:sqref>
            </x14:sparkline>
            <x14:sparkline>
              <xm:f>'Capitola v1.0 r2 (PAVS)'!I52:AJ52</xm:f>
              <xm:sqref>AM52</xm:sqref>
            </x14:sparkline>
            <x14:sparkline>
              <xm:f>'Capitola v1.0 r2 (PAVS)'!I53:AJ53</xm:f>
              <xm:sqref>AM53</xm:sqref>
            </x14:sparkline>
            <x14:sparkline>
              <xm:f>'Capitola v1.0 r2 (PAVS)'!I54:AJ54</xm:f>
              <xm:sqref>AM54</xm:sqref>
            </x14:sparkline>
            <x14:sparkline>
              <xm:f>'Capitola v1.0 r2 (PAVS)'!I55:AJ55</xm:f>
              <xm:sqref>AM55</xm:sqref>
            </x14:sparkline>
            <x14:sparkline>
              <xm:f>'Capitola v1.0 r2 (PAVS)'!I56:AJ56</xm:f>
              <xm:sqref>AM56</xm:sqref>
            </x14:sparkline>
            <x14:sparkline>
              <xm:f>'Capitola v1.0 r2 (PAVS)'!I57:AJ57</xm:f>
              <xm:sqref>AM57</xm:sqref>
            </x14:sparkline>
            <x14:sparkline>
              <xm:f>'Capitola v1.0 r2 (PAVS)'!I58:AJ58</xm:f>
              <xm:sqref>AM58</xm:sqref>
            </x14:sparkline>
            <x14:sparkline>
              <xm:f>'Capitola v1.0 r2 (PAVS)'!I59:AJ59</xm:f>
              <xm:sqref>AM59</xm:sqref>
            </x14:sparkline>
            <x14:sparkline>
              <xm:f>'Capitola v1.0 r2 (PAVS)'!I60:AJ60</xm:f>
              <xm:sqref>AM60</xm:sqref>
            </x14:sparkline>
            <x14:sparkline>
              <xm:f>'Capitola v1.0 r2 (PAVS)'!I61:AJ61</xm:f>
              <xm:sqref>AM61</xm:sqref>
            </x14:sparkline>
            <x14:sparkline>
              <xm:f>'Capitola v1.0 r2 (PAVS)'!I62:AJ62</xm:f>
              <xm:sqref>AM62</xm:sqref>
            </x14:sparkline>
            <x14:sparkline>
              <xm:f>'Capitola v1.0 r2 (PAVS)'!I63:AJ63</xm:f>
              <xm:sqref>AM63</xm:sqref>
            </x14:sparkline>
            <x14:sparkline>
              <xm:f>'Capitola v1.0 r2 (PAVS)'!I64:AJ64</xm:f>
              <xm:sqref>AM64</xm:sqref>
            </x14:sparkline>
            <x14:sparkline>
              <xm:f>'Capitola v1.0 r2 (PAVS)'!I65:AJ65</xm:f>
              <xm:sqref>AM65</xm:sqref>
            </x14:sparkline>
            <x14:sparkline>
              <xm:f>'Capitola v1.0 r2 (PAVS)'!I66:AJ66</xm:f>
              <xm:sqref>AM66</xm:sqref>
            </x14:sparkline>
            <x14:sparkline>
              <xm:f>'Capitola v1.0 r2 (PAVS)'!I67:AJ67</xm:f>
              <xm:sqref>AM67</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57BE-C87B-45D7-8600-80C28C9F913F}">
  <sheetPr published="0" codeName="Sheet7">
    <tabColor theme="7"/>
  </sheetPr>
  <dimension ref="A1:D28"/>
  <sheetViews>
    <sheetView zoomScale="85" zoomScaleNormal="85" workbookViewId="0">
      <pane ySplit="2" topLeftCell="A3" activePane="bottomLeft" state="frozen"/>
      <selection activeCell="G7" sqref="G7"/>
      <selection pane="bottomLeft" activeCell="C6" sqref="C6"/>
    </sheetView>
  </sheetViews>
  <sheetFormatPr defaultColWidth="9.42578125" defaultRowHeight="15" x14ac:dyDescent="0.25"/>
  <cols>
    <col min="1" max="1" width="37" style="14" customWidth="1"/>
    <col min="2" max="2" width="63.7109375" style="14" customWidth="1"/>
    <col min="3" max="3" width="64" style="14" customWidth="1"/>
    <col min="4" max="4" width="58.42578125" style="14" customWidth="1"/>
    <col min="5" max="16384" width="9.42578125" style="14"/>
  </cols>
  <sheetData>
    <row r="1" spans="1:4" ht="36.75" customHeight="1" thickBot="1" x14ac:dyDescent="0.3">
      <c r="A1" s="192" t="s">
        <v>39</v>
      </c>
      <c r="B1" s="192"/>
      <c r="C1" s="192"/>
      <c r="D1" s="192"/>
    </row>
    <row r="2" spans="1:4" x14ac:dyDescent="0.25">
      <c r="A2" s="17" t="s">
        <v>40</v>
      </c>
      <c r="B2" s="94" t="s">
        <v>41</v>
      </c>
      <c r="C2" s="18" t="s">
        <v>42</v>
      </c>
      <c r="D2" s="19" t="s">
        <v>43</v>
      </c>
    </row>
    <row r="3" spans="1:4" x14ac:dyDescent="0.25">
      <c r="A3" s="34"/>
      <c r="B3" s="16"/>
      <c r="C3" s="16"/>
      <c r="D3" s="22"/>
    </row>
    <row r="4" spans="1:4" ht="105" x14ac:dyDescent="0.25">
      <c r="A4" s="155" t="s">
        <v>251</v>
      </c>
      <c r="B4" s="152" t="s">
        <v>252</v>
      </c>
      <c r="C4" s="99"/>
      <c r="D4" s="99" t="s">
        <v>253</v>
      </c>
    </row>
    <row r="5" spans="1:4" ht="409.5" x14ac:dyDescent="0.25">
      <c r="A5" s="156" t="s">
        <v>254</v>
      </c>
      <c r="B5" s="152" t="s">
        <v>286</v>
      </c>
      <c r="C5" s="99" t="s">
        <v>285</v>
      </c>
      <c r="D5" s="99" t="s">
        <v>255</v>
      </c>
    </row>
    <row r="6" spans="1:4" ht="285" x14ac:dyDescent="0.25">
      <c r="A6" s="156" t="s">
        <v>279</v>
      </c>
      <c r="B6" s="32" t="s">
        <v>310</v>
      </c>
      <c r="C6" s="97" t="s">
        <v>311</v>
      </c>
      <c r="D6" s="97"/>
    </row>
    <row r="7" spans="1:4" x14ac:dyDescent="0.25">
      <c r="A7" s="98"/>
      <c r="B7" s="97"/>
      <c r="C7" s="97"/>
      <c r="D7" s="97"/>
    </row>
    <row r="8" spans="1:4" x14ac:dyDescent="0.25">
      <c r="A8" s="98"/>
      <c r="B8" s="108"/>
      <c r="C8" s="97"/>
      <c r="D8" s="97"/>
    </row>
    <row r="9" spans="1:4" x14ac:dyDescent="0.25">
      <c r="A9" s="33"/>
      <c r="B9" s="31"/>
      <c r="C9" s="22"/>
      <c r="D9" s="22"/>
    </row>
    <row r="10" spans="1:4" x14ac:dyDescent="0.25">
      <c r="A10" s="46"/>
      <c r="B10" s="108"/>
      <c r="C10" s="15"/>
      <c r="D10" s="143"/>
    </row>
    <row r="11" spans="1:4" x14ac:dyDescent="0.25">
      <c r="A11" s="68"/>
      <c r="B11" s="15"/>
      <c r="C11" s="15"/>
      <c r="D11" s="143"/>
    </row>
    <row r="12" spans="1:4" x14ac:dyDescent="0.25">
      <c r="A12" s="149"/>
      <c r="B12" s="15"/>
      <c r="C12" s="148"/>
      <c r="D12" s="143"/>
    </row>
    <row r="13" spans="1:4" x14ac:dyDescent="0.25">
      <c r="A13" s="33"/>
      <c r="B13" s="152"/>
      <c r="C13" s="99"/>
      <c r="D13" s="99"/>
    </row>
    <row r="14" spans="1:4" x14ac:dyDescent="0.25">
      <c r="A14" s="33"/>
      <c r="B14" s="15"/>
      <c r="C14" s="99"/>
      <c r="D14" s="15"/>
    </row>
    <row r="15" spans="1:4" x14ac:dyDescent="0.25">
      <c r="A15" s="33"/>
      <c r="B15" s="15"/>
      <c r="C15" s="99"/>
      <c r="D15" s="15"/>
    </row>
    <row r="16" spans="1:4" x14ac:dyDescent="0.25">
      <c r="A16" s="33"/>
      <c r="B16" s="15"/>
      <c r="C16" s="15"/>
      <c r="D16" s="22"/>
    </row>
    <row r="17" spans="1:4" x14ac:dyDescent="0.25">
      <c r="A17" s="46"/>
      <c r="B17" s="15"/>
      <c r="C17" s="15"/>
      <c r="D17" s="15"/>
    </row>
    <row r="18" spans="1:4" x14ac:dyDescent="0.25">
      <c r="A18" s="68"/>
      <c r="B18" s="15"/>
      <c r="C18" s="15"/>
      <c r="D18" s="22"/>
    </row>
    <row r="19" spans="1:4" x14ac:dyDescent="0.25">
      <c r="A19" s="153"/>
      <c r="B19" s="15"/>
      <c r="C19" s="99"/>
      <c r="D19" s="15"/>
    </row>
    <row r="20" spans="1:4" x14ac:dyDescent="0.25">
      <c r="A20" s="69"/>
      <c r="B20" s="141"/>
      <c r="C20" s="142"/>
      <c r="D20" s="15"/>
    </row>
    <row r="21" spans="1:4" x14ac:dyDescent="0.25">
      <c r="A21" s="15"/>
      <c r="B21" s="141"/>
      <c r="C21" s="142"/>
      <c r="D21" s="15"/>
    </row>
    <row r="22" spans="1:4" x14ac:dyDescent="0.25">
      <c r="A22" s="15"/>
      <c r="B22" s="141"/>
      <c r="C22" s="142"/>
      <c r="D22" s="15"/>
    </row>
    <row r="23" spans="1:4" x14ac:dyDescent="0.25">
      <c r="A23" s="15"/>
      <c r="B23" s="141"/>
      <c r="C23" s="142"/>
      <c r="D23" s="15"/>
    </row>
    <row r="24" spans="1:4" x14ac:dyDescent="0.25">
      <c r="A24" s="15"/>
      <c r="B24" s="141"/>
      <c r="C24" s="142"/>
      <c r="D24" s="15"/>
    </row>
    <row r="25" spans="1:4" x14ac:dyDescent="0.25">
      <c r="A25" s="15"/>
      <c r="B25" s="141"/>
      <c r="C25" s="142"/>
      <c r="D25" s="15"/>
    </row>
    <row r="26" spans="1:4" x14ac:dyDescent="0.25">
      <c r="A26" s="15"/>
      <c r="B26" s="141"/>
      <c r="C26" s="142"/>
      <c r="D26" s="15"/>
    </row>
    <row r="27" spans="1:4" x14ac:dyDescent="0.25">
      <c r="A27" s="15"/>
      <c r="B27" s="141"/>
      <c r="C27" s="142"/>
      <c r="D27" s="15"/>
    </row>
    <row r="28" spans="1:4" x14ac:dyDescent="0.25">
      <c r="A28" s="15"/>
      <c r="B28" s="141"/>
      <c r="C28" s="142"/>
      <c r="D28" s="15"/>
    </row>
  </sheetData>
  <protectedRanges>
    <protectedRange sqref="A17" name="SamOnly_1" securityDescriptor="O:WDG:WDD:(A;;CC;;;S-1-5-21-249263827-1212357926-315576832-1035433)"/>
    <protectedRange algorithmName="SHA-512" hashValue="21f8RCaaX0mBDEbChFx6QK86dW6kaFpj3yRcqfzL28q5YQcq9A07up9HGb4Kv1SYCZTV7q7/Z0FaqJB8JUZGwg==" saltValue="utKn3G5cSCY4gJ7aWeoLAA==" spinCount="100000" sqref="A8:A9" name="admin_1_1_1_2"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A3" name="admin_1_1_1_1_1" securityDescriptor="O:WDG:WDD:(A;;CC;;;S-1-5-21-249263827-1212357926-315576832-879671)(A;;CC;;;S-1-5-21-249263827-1212357926-315576832-1035433)(A;;CC;;;S-1-5-21-249263827-1212357926-315576832-924734)"/>
    <protectedRange sqref="A10 A14:A15" name="SamOnly_1_1" securityDescriptor="O:WDG:WDD:(A;;CC;;;S-1-5-21-249263827-1212357926-315576832-1035433)"/>
    <protectedRange algorithmName="SHA-512" hashValue="21f8RCaaX0mBDEbChFx6QK86dW6kaFpj3yRcqfzL28q5YQcq9A07up9HGb4Kv1SYCZTV7q7/Z0FaqJB8JUZGwg==" saltValue="utKn3G5cSCY4gJ7aWeoLAA==" spinCount="100000" sqref="A6" name="admin_1_1_1_1_1_2" securityDescriptor="O:WDG:WDD:(A;;CC;;;S-1-5-21-249263827-1212357926-315576832-879671)(A;;CC;;;S-1-5-21-249263827-1212357926-315576832-1035433)(A;;CC;;;S-1-5-21-249263827-1212357926-315576832-924734)"/>
  </protectedRanges>
  <autoFilter ref="A2:D20" xr:uid="{855064AF-EFF2-4582-BAA2-F28BF07EF784}"/>
  <mergeCells count="1">
    <mergeCell ref="A1:D1"/>
  </mergeCells>
  <dataValidations count="1">
    <dataValidation allowBlank="1" showErrorMessage="1" errorTitle="Invalid" error="Please select a valid entry" sqref="A10 A14:A17" xr:uid="{951D91BB-023F-4D60-A7E0-E6D7B6114911}"/>
  </dataValidations>
  <pageMargins left="0.7" right="0.7" top="0.75" bottom="0.75" header="0.3" footer="0.3"/>
  <pageSetup orientation="portrait" r:id="rId1"/>
  <headerFooter>
    <oddHeader>&amp;L&amp;"Calibri"&amp;10&amp;K0000FF [AMD Official Use Only - AMD Internal Distribution Only]&amp;1#_x000D_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8268-601A-47C8-B7E2-09828A4A0B6D}">
  <sheetPr published="0" codeName="Sheet6">
    <tabColor rgb="FFC00000"/>
  </sheetPr>
  <dimension ref="A1:I64"/>
  <sheetViews>
    <sheetView zoomScaleNormal="100" workbookViewId="0">
      <selection activeCell="B23" sqref="B23"/>
    </sheetView>
  </sheetViews>
  <sheetFormatPr defaultColWidth="8.42578125" defaultRowHeight="15" x14ac:dyDescent="0.25"/>
  <cols>
    <col min="1" max="1" width="12.7109375" style="2" customWidth="1"/>
    <col min="2" max="2" width="96" style="2" customWidth="1"/>
    <col min="3" max="4" width="16" style="2" customWidth="1"/>
    <col min="5" max="6" width="7.5703125" style="2" customWidth="1"/>
    <col min="7" max="11" width="7.5703125" customWidth="1"/>
    <col min="12" max="24" width="7.42578125" customWidth="1"/>
  </cols>
  <sheetData>
    <row r="1" spans="1:9" x14ac:dyDescent="0.25">
      <c r="H1" s="35"/>
      <c r="I1" s="100"/>
    </row>
    <row r="3" spans="1:9" x14ac:dyDescent="0.25">
      <c r="B3" s="127"/>
      <c r="C3" s="127"/>
      <c r="D3" s="127"/>
      <c r="E3" s="70"/>
      <c r="F3" s="70"/>
    </row>
    <row r="4" spans="1:9" x14ac:dyDescent="0.25">
      <c r="C4" s="128"/>
      <c r="D4" s="128"/>
      <c r="E4" s="71"/>
      <c r="F4" s="71"/>
    </row>
    <row r="5" spans="1:9" x14ac:dyDescent="0.25">
      <c r="B5" s="128"/>
      <c r="C5" s="128"/>
      <c r="D5" s="128"/>
      <c r="E5" s="71"/>
      <c r="F5" s="71"/>
    </row>
    <row r="6" spans="1:9" x14ac:dyDescent="0.25">
      <c r="B6" s="129"/>
      <c r="C6" s="128"/>
      <c r="D6" s="129"/>
      <c r="E6" s="71"/>
      <c r="F6" s="71"/>
    </row>
    <row r="7" spans="1:9" x14ac:dyDescent="0.25">
      <c r="B7" s="129"/>
      <c r="C7" s="128"/>
      <c r="D7" s="129"/>
      <c r="E7" s="71"/>
      <c r="F7" s="71"/>
    </row>
    <row r="8" spans="1:9" x14ac:dyDescent="0.25">
      <c r="B8" s="130"/>
      <c r="C8" s="128"/>
      <c r="D8" s="130"/>
      <c r="E8" s="72"/>
      <c r="F8" s="72"/>
    </row>
    <row r="9" spans="1:9" x14ac:dyDescent="0.25">
      <c r="B9" s="130"/>
      <c r="C9" s="128"/>
      <c r="D9" s="130"/>
      <c r="E9" s="72"/>
      <c r="F9" s="72"/>
    </row>
    <row r="10" spans="1:9" x14ac:dyDescent="0.25">
      <c r="B10" s="129"/>
      <c r="C10" s="128"/>
      <c r="D10" s="129"/>
      <c r="E10" s="71"/>
      <c r="F10" s="71"/>
    </row>
    <row r="11" spans="1:9" x14ac:dyDescent="0.25">
      <c r="A11" s="232"/>
      <c r="B11" s="232"/>
      <c r="C11" s="232"/>
      <c r="D11" s="232"/>
      <c r="E11" s="71"/>
      <c r="F11" s="71"/>
    </row>
    <row r="12" spans="1:9" x14ac:dyDescent="0.25">
      <c r="B12" s="129"/>
      <c r="C12" s="128"/>
      <c r="D12" s="129"/>
      <c r="E12" s="73"/>
      <c r="F12" s="73"/>
    </row>
    <row r="13" spans="1:9" x14ac:dyDescent="0.25">
      <c r="A13" s="134"/>
      <c r="B13" s="134"/>
      <c r="C13" s="134"/>
      <c r="D13" s="134"/>
      <c r="E13" s="73"/>
      <c r="F13" s="73"/>
    </row>
    <row r="14" spans="1:9" x14ac:dyDescent="0.25">
      <c r="A14" s="131"/>
      <c r="B14" s="139"/>
      <c r="C14" s="131"/>
      <c r="D14" s="131"/>
      <c r="E14" s="73"/>
      <c r="F14" s="73"/>
    </row>
    <row r="15" spans="1:9" x14ac:dyDescent="0.25">
      <c r="A15" s="131"/>
      <c r="B15" s="139"/>
      <c r="C15" s="131"/>
      <c r="D15" s="131"/>
      <c r="E15" s="73"/>
      <c r="F15" s="73"/>
    </row>
    <row r="16" spans="1:9" x14ac:dyDescent="0.25">
      <c r="A16" s="131"/>
      <c r="B16" s="139"/>
      <c r="C16" s="131"/>
      <c r="D16" s="131"/>
      <c r="E16" s="70"/>
      <c r="F16" s="70"/>
    </row>
    <row r="17" spans="1:6" x14ac:dyDescent="0.25">
      <c r="A17" s="131"/>
      <c r="B17" s="139"/>
      <c r="C17" s="131"/>
      <c r="D17" s="131"/>
      <c r="E17" s="73"/>
      <c r="F17" s="73"/>
    </row>
    <row r="18" spans="1:6" x14ac:dyDescent="0.25">
      <c r="A18" s="131"/>
      <c r="B18" s="139"/>
      <c r="C18" s="131"/>
      <c r="D18" s="131"/>
      <c r="E18" s="73"/>
      <c r="F18" s="73"/>
    </row>
    <row r="19" spans="1:6" x14ac:dyDescent="0.25">
      <c r="A19" s="131"/>
      <c r="B19" s="139"/>
      <c r="C19" s="140"/>
      <c r="D19" s="131"/>
      <c r="E19" s="73"/>
      <c r="F19" s="73"/>
    </row>
    <row r="20" spans="1:6" x14ac:dyDescent="0.25">
      <c r="B20" s="132"/>
      <c r="C20" s="132"/>
      <c r="D20" s="132"/>
      <c r="E20" s="74"/>
      <c r="F20" s="73"/>
    </row>
    <row r="21" spans="1:6" x14ac:dyDescent="0.25">
      <c r="B21" s="129"/>
      <c r="C21" s="129"/>
      <c r="D21" s="129"/>
      <c r="E21" s="73"/>
      <c r="F21" s="73"/>
    </row>
    <row r="22" spans="1:6" x14ac:dyDescent="0.25">
      <c r="B22" s="129"/>
      <c r="C22" s="129"/>
      <c r="D22" s="129"/>
      <c r="E22" s="73"/>
      <c r="F22" s="73"/>
    </row>
    <row r="23" spans="1:6" x14ac:dyDescent="0.25">
      <c r="B23" s="127"/>
      <c r="C23" s="127"/>
      <c r="D23" s="127"/>
      <c r="E23" s="70"/>
      <c r="F23" s="70"/>
    </row>
    <row r="24" spans="1:6" x14ac:dyDescent="0.25">
      <c r="A24" s="12"/>
      <c r="B24" s="128"/>
      <c r="C24" s="128"/>
      <c r="D24" s="128"/>
      <c r="E24" s="73"/>
      <c r="F24" s="73"/>
    </row>
    <row r="25" spans="1:6" x14ac:dyDescent="0.25">
      <c r="A25" s="12"/>
      <c r="B25" s="128"/>
      <c r="C25" s="128"/>
      <c r="D25" s="128"/>
      <c r="E25" s="73"/>
      <c r="F25" s="73"/>
    </row>
    <row r="26" spans="1:6" x14ac:dyDescent="0.25">
      <c r="A26" s="12"/>
      <c r="B26" s="128"/>
      <c r="C26" s="128"/>
      <c r="D26" s="128"/>
      <c r="E26" s="73"/>
      <c r="F26" s="73"/>
    </row>
    <row r="27" spans="1:6" x14ac:dyDescent="0.25">
      <c r="A27" s="12"/>
      <c r="B27" s="129"/>
      <c r="C27" s="133"/>
      <c r="D27" s="133"/>
      <c r="E27" s="73"/>
      <c r="F27" s="73"/>
    </row>
    <row r="28" spans="1:6" x14ac:dyDescent="0.25">
      <c r="A28" s="12"/>
      <c r="B28" s="129"/>
      <c r="C28" s="129"/>
      <c r="D28" s="129"/>
      <c r="E28" s="73"/>
      <c r="F28" s="73"/>
    </row>
    <row r="29" spans="1:6" x14ac:dyDescent="0.25">
      <c r="A29" s="12"/>
      <c r="B29" s="129"/>
      <c r="C29" s="133"/>
      <c r="D29" s="129"/>
      <c r="E29" s="73"/>
      <c r="F29" s="73"/>
    </row>
    <row r="30" spans="1:6" x14ac:dyDescent="0.25">
      <c r="B30" s="129"/>
      <c r="C30" s="129"/>
      <c r="D30" s="129"/>
      <c r="E30" s="73"/>
      <c r="F30" s="73"/>
    </row>
    <row r="31" spans="1:6" x14ac:dyDescent="0.25">
      <c r="B31" s="128"/>
      <c r="C31" s="128"/>
      <c r="D31" s="128"/>
      <c r="E31" s="73"/>
      <c r="F31" s="73"/>
    </row>
    <row r="32" spans="1:6" x14ac:dyDescent="0.25">
      <c r="B32" s="128"/>
      <c r="C32" s="128"/>
      <c r="D32" s="128"/>
      <c r="E32" s="73"/>
      <c r="F32" s="73"/>
    </row>
    <row r="33" spans="2:6" x14ac:dyDescent="0.25">
      <c r="B33" s="128"/>
      <c r="C33" s="128"/>
      <c r="D33" s="128"/>
      <c r="E33" s="73"/>
      <c r="F33" s="73"/>
    </row>
    <row r="34" spans="2:6" x14ac:dyDescent="0.25">
      <c r="B34" s="128"/>
      <c r="C34" s="128"/>
      <c r="D34" s="128"/>
      <c r="E34" s="73"/>
      <c r="F34" s="73"/>
    </row>
    <row r="35" spans="2:6" x14ac:dyDescent="0.25">
      <c r="B35" s="128"/>
      <c r="C35" s="128"/>
      <c r="D35" s="128"/>
      <c r="E35" s="73"/>
      <c r="F35" s="73"/>
    </row>
    <row r="36" spans="2:6" x14ac:dyDescent="0.25">
      <c r="B36" s="129"/>
      <c r="C36" s="133"/>
      <c r="D36" s="133"/>
      <c r="E36" s="73"/>
      <c r="F36" s="73"/>
    </row>
    <row r="37" spans="2:6" x14ac:dyDescent="0.25">
      <c r="B37" s="129"/>
      <c r="C37" s="129"/>
      <c r="D37" s="129"/>
      <c r="E37" s="73"/>
      <c r="F37" s="73"/>
    </row>
    <row r="38" spans="2:6" x14ac:dyDescent="0.25">
      <c r="B38" s="129"/>
      <c r="C38" s="129"/>
      <c r="D38" s="129"/>
      <c r="E38" s="71"/>
      <c r="F38" s="71"/>
    </row>
    <row r="39" spans="2:6" x14ac:dyDescent="0.25">
      <c r="B39" s="127"/>
      <c r="C39" s="127"/>
      <c r="D39" s="127"/>
      <c r="E39" s="70"/>
      <c r="F39" s="70"/>
    </row>
    <row r="40" spans="2:6" x14ac:dyDescent="0.25">
      <c r="B40" s="129"/>
      <c r="C40" s="129"/>
      <c r="D40" s="129"/>
      <c r="E40" s="71"/>
      <c r="F40" s="71"/>
    </row>
    <row r="41" spans="2:6" x14ac:dyDescent="0.25">
      <c r="B41" s="129"/>
      <c r="C41" s="129"/>
      <c r="D41" s="129"/>
      <c r="E41" s="71"/>
      <c r="F41" s="71"/>
    </row>
    <row r="42" spans="2:6" x14ac:dyDescent="0.25">
      <c r="B42" s="129"/>
      <c r="C42" s="128"/>
      <c r="D42" s="129"/>
      <c r="E42" s="71"/>
      <c r="F42" s="71"/>
    </row>
    <row r="43" spans="2:6" x14ac:dyDescent="0.25">
      <c r="B43" s="129"/>
      <c r="C43" s="129"/>
      <c r="D43" s="129"/>
      <c r="E43" s="71"/>
      <c r="F43" s="71"/>
    </row>
    <row r="44" spans="2:6" x14ac:dyDescent="0.25">
      <c r="B44" s="129"/>
      <c r="C44" s="129"/>
      <c r="D44" s="129"/>
      <c r="E44" s="71"/>
      <c r="F44" s="71"/>
    </row>
    <row r="63" ht="33.6" customHeight="1" x14ac:dyDescent="0.25"/>
    <row r="64" ht="18" customHeight="1" x14ac:dyDescent="0.25"/>
  </sheetData>
  <mergeCells count="1">
    <mergeCell ref="A11:D11"/>
  </mergeCells>
  <pageMargins left="0.7" right="0.7" top="0.75" bottom="0.75" header="0.3" footer="0.3"/>
  <pageSetup orientation="portrait" r:id="rId1"/>
  <headerFooter>
    <oddHeader>&amp;L&amp;"Calibri"&amp;10&amp;K0000FF [AMD Official Use Only - AMD Internal Distribution Only]&amp;1#_x000D_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6BBD-8593-4157-86E9-41E7ECC3854C}">
  <sheetPr published="0"/>
  <dimension ref="A3:D9"/>
  <sheetViews>
    <sheetView workbookViewId="0">
      <selection activeCell="B5" sqref="B5"/>
    </sheetView>
  </sheetViews>
  <sheetFormatPr defaultRowHeight="15" x14ac:dyDescent="0.25"/>
  <cols>
    <col min="1" max="1" width="14.42578125" customWidth="1"/>
    <col min="2" max="3" width="12.7109375" customWidth="1"/>
    <col min="4" max="5" width="11.5703125" bestFit="1" customWidth="1"/>
  </cols>
  <sheetData>
    <row r="3" spans="1:4" x14ac:dyDescent="0.25">
      <c r="A3" s="150" t="s">
        <v>227</v>
      </c>
      <c r="B3" s="150" t="s">
        <v>11</v>
      </c>
    </row>
    <row r="4" spans="1:4" ht="30" x14ac:dyDescent="0.25">
      <c r="A4" s="150" t="s">
        <v>6</v>
      </c>
      <c r="B4" s="2" t="s">
        <v>23</v>
      </c>
      <c r="C4" s="2" t="s">
        <v>18</v>
      </c>
      <c r="D4" t="s">
        <v>34</v>
      </c>
    </row>
    <row r="5" spans="1:4" x14ac:dyDescent="0.25">
      <c r="A5" t="s">
        <v>25</v>
      </c>
      <c r="B5" s="151">
        <v>1084976.9825431062</v>
      </c>
      <c r="C5" s="151">
        <v>891263.8023342198</v>
      </c>
      <c r="D5" s="151">
        <v>1976240.7848773259</v>
      </c>
    </row>
    <row r="6" spans="1:4" x14ac:dyDescent="0.25">
      <c r="A6" t="s">
        <v>20</v>
      </c>
      <c r="B6" s="151">
        <v>1242626.1976050008</v>
      </c>
      <c r="C6" s="151"/>
      <c r="D6" s="151">
        <v>1242626.1976050008</v>
      </c>
    </row>
    <row r="7" spans="1:4" x14ac:dyDescent="0.25">
      <c r="A7" t="s">
        <v>15</v>
      </c>
      <c r="B7" s="151"/>
      <c r="C7" s="151">
        <v>210967.74660560396</v>
      </c>
      <c r="D7" s="151">
        <v>210967.74660560396</v>
      </c>
    </row>
    <row r="8" spans="1:4" x14ac:dyDescent="0.25">
      <c r="A8" t="s">
        <v>68</v>
      </c>
      <c r="B8" s="151">
        <v>843870.98642241582</v>
      </c>
      <c r="C8" s="151"/>
      <c r="D8" s="151">
        <v>843870.98642241582</v>
      </c>
    </row>
    <row r="9" spans="1:4" x14ac:dyDescent="0.25">
      <c r="A9" t="s">
        <v>34</v>
      </c>
      <c r="B9" s="151">
        <v>3171474.1665705228</v>
      </c>
      <c r="C9" s="151">
        <v>1102231.5489398236</v>
      </c>
      <c r="D9" s="151">
        <v>4273705.715510346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927DD-729A-43A6-9855-1A9CD5DA66CD}">
  <sheetPr published="0" codeName="Sheet4"/>
  <dimension ref="B2:F15"/>
  <sheetViews>
    <sheetView workbookViewId="0">
      <selection activeCell="F34" sqref="F34"/>
    </sheetView>
  </sheetViews>
  <sheetFormatPr defaultRowHeight="15" x14ac:dyDescent="0.25"/>
  <cols>
    <col min="2" max="2" width="26.42578125" customWidth="1"/>
    <col min="3" max="3" width="18.42578125" hidden="1" customWidth="1"/>
    <col min="4" max="4" width="38.42578125" style="2" bestFit="1" customWidth="1"/>
    <col min="5" max="5" width="11" customWidth="1"/>
    <col min="6" max="6" width="98.42578125" bestFit="1" customWidth="1"/>
  </cols>
  <sheetData>
    <row r="2" spans="2:6" x14ac:dyDescent="0.25">
      <c r="B2" t="s">
        <v>44</v>
      </c>
      <c r="C2" t="s">
        <v>45</v>
      </c>
      <c r="D2" s="2" t="s">
        <v>46</v>
      </c>
      <c r="E2" t="s">
        <v>0</v>
      </c>
      <c r="F2" t="s">
        <v>47</v>
      </c>
    </row>
    <row r="3" spans="2:6" x14ac:dyDescent="0.25">
      <c r="B3" s="101"/>
      <c r="C3" s="101"/>
      <c r="D3" s="101"/>
      <c r="E3" s="101"/>
      <c r="F3" s="101"/>
    </row>
    <row r="4" spans="2:6" x14ac:dyDescent="0.25">
      <c r="B4" s="101"/>
      <c r="C4" s="101"/>
      <c r="D4" s="101"/>
      <c r="E4" s="101"/>
      <c r="F4" s="101"/>
    </row>
    <row r="5" spans="2:6" x14ac:dyDescent="0.25">
      <c r="B5" s="101"/>
      <c r="C5" s="101"/>
      <c r="D5" s="101"/>
      <c r="E5" s="101"/>
      <c r="F5" s="101"/>
    </row>
    <row r="6" spans="2:6" x14ac:dyDescent="0.25">
      <c r="B6" s="101"/>
      <c r="C6" s="101"/>
      <c r="D6" s="101"/>
      <c r="E6" s="101"/>
      <c r="F6" s="101"/>
    </row>
    <row r="7" spans="2:6" x14ac:dyDescent="0.25">
      <c r="B7" s="101"/>
      <c r="C7" s="101"/>
      <c r="D7" s="101"/>
      <c r="E7" s="101"/>
      <c r="F7" s="101"/>
    </row>
    <row r="8" spans="2:6" x14ac:dyDescent="0.25">
      <c r="B8" s="101"/>
      <c r="C8" s="101"/>
      <c r="D8" s="101"/>
      <c r="E8" s="101"/>
      <c r="F8" s="101"/>
    </row>
    <row r="9" spans="2:6" x14ac:dyDescent="0.25">
      <c r="B9" s="101"/>
      <c r="C9" s="101"/>
      <c r="D9" s="101"/>
      <c r="E9" s="101"/>
      <c r="F9" s="101"/>
    </row>
    <row r="10" spans="2:6" x14ac:dyDescent="0.25">
      <c r="B10" s="101"/>
      <c r="C10" s="101"/>
      <c r="D10" s="101"/>
      <c r="E10" s="101"/>
      <c r="F10" s="101"/>
    </row>
    <row r="11" spans="2:6" x14ac:dyDescent="0.25">
      <c r="B11" s="101"/>
      <c r="C11" s="101"/>
      <c r="D11" s="101"/>
      <c r="E11" s="101"/>
      <c r="F11" s="101"/>
    </row>
    <row r="12" spans="2:6" x14ac:dyDescent="0.25">
      <c r="B12" s="71"/>
      <c r="C12" s="71"/>
      <c r="D12" s="71"/>
      <c r="E12" s="71"/>
      <c r="F12" s="101"/>
    </row>
    <row r="13" spans="2:6" x14ac:dyDescent="0.25">
      <c r="B13" s="71"/>
      <c r="C13" s="71"/>
      <c r="D13" s="71"/>
      <c r="E13" s="71"/>
      <c r="F13" s="101"/>
    </row>
    <row r="14" spans="2:6" x14ac:dyDescent="0.25">
      <c r="B14" s="71"/>
      <c r="C14" s="71"/>
      <c r="D14" s="71"/>
      <c r="E14" s="71"/>
      <c r="F14" s="101"/>
    </row>
    <row r="15" spans="2:6" x14ac:dyDescent="0.25">
      <c r="B15" s="101"/>
      <c r="C15" s="101"/>
      <c r="D15" s="101"/>
      <c r="E15" s="101"/>
      <c r="F15" s="10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CF43-4B3F-4BD9-AD64-619124911C97}">
  <sheetPr codeName="Sheet5"/>
  <dimension ref="A1:M11"/>
  <sheetViews>
    <sheetView workbookViewId="0">
      <selection sqref="A1:D1"/>
    </sheetView>
  </sheetViews>
  <sheetFormatPr defaultColWidth="8.42578125" defaultRowHeight="15" x14ac:dyDescent="0.25"/>
  <cols>
    <col min="1" max="1" width="7.42578125" style="30" customWidth="1"/>
    <col min="2" max="2" width="58.42578125" style="26" bestFit="1" customWidth="1"/>
    <col min="3" max="3" width="55" style="24" customWidth="1"/>
    <col min="4" max="4" width="13" style="24" customWidth="1"/>
    <col min="5" max="16384" width="8.42578125" style="24"/>
  </cols>
  <sheetData>
    <row r="1" spans="1:13" ht="193.15" customHeight="1" x14ac:dyDescent="0.25">
      <c r="A1" s="233" t="s">
        <v>48</v>
      </c>
      <c r="B1" s="233"/>
      <c r="C1" s="233"/>
      <c r="D1" s="233"/>
      <c r="E1" s="23"/>
      <c r="F1" s="23"/>
      <c r="G1" s="23"/>
      <c r="H1" s="23"/>
      <c r="I1" s="23"/>
      <c r="J1" s="23"/>
      <c r="K1" s="23"/>
      <c r="L1" s="23"/>
      <c r="M1" s="23"/>
    </row>
    <row r="2" spans="1:13" x14ac:dyDescent="0.25">
      <c r="A2" s="25"/>
    </row>
    <row r="4" spans="1:13" x14ac:dyDescent="0.25">
      <c r="A4" s="27"/>
      <c r="B4" s="28"/>
      <c r="C4" s="29"/>
    </row>
    <row r="5" spans="1:13" x14ac:dyDescent="0.25">
      <c r="A5" s="27"/>
      <c r="B5" s="28"/>
      <c r="C5" s="29"/>
    </row>
    <row r="6" spans="1:13" x14ac:dyDescent="0.25">
      <c r="A6" s="27"/>
      <c r="B6" s="28"/>
      <c r="C6" s="29"/>
    </row>
    <row r="7" spans="1:13" x14ac:dyDescent="0.25">
      <c r="A7" s="27"/>
      <c r="B7" s="28"/>
      <c r="C7" s="29"/>
    </row>
    <row r="8" spans="1:13" x14ac:dyDescent="0.25">
      <c r="A8" s="27"/>
      <c r="B8" s="28"/>
      <c r="C8" s="29"/>
    </row>
    <row r="9" spans="1:13" x14ac:dyDescent="0.25">
      <c r="A9" s="27"/>
      <c r="B9" s="28"/>
      <c r="C9" s="29"/>
    </row>
    <row r="10" spans="1:13" x14ac:dyDescent="0.25">
      <c r="A10" s="27"/>
      <c r="B10" s="28"/>
      <c r="C10" s="29"/>
    </row>
    <row r="11" spans="1:13" x14ac:dyDescent="0.25">
      <c r="A11" s="27"/>
      <c r="B11" s="28"/>
      <c r="C11" s="29"/>
    </row>
  </sheetData>
  <sheetProtection algorithmName="SHA-512" hashValue="XPPj/buFkrLuOnvw+Eb10GWVVBKtbOPzPNDg+N9ncAto3JKCYIjwMKCNuEN+Hjc4LpFihGTpUW2m6kIYt0t87Q==" saltValue="UQU0ze2ImD3yWstxlkAvDw==" spinCount="100000" sheet="1" objects="1" scenarios="1" selectLockedCells="1" selectUnlockedCells="1"/>
  <mergeCells count="1">
    <mergeCell ref="A1:D1"/>
  </mergeCells>
  <pageMargins left="0.7" right="0.7" top="0.75" bottom="0.75" header="0.3" footer="0.3"/>
  <headerFooter>
    <oddHeader>&amp;L&amp;"Calibri"&amp;10&amp;K0000FF [AMD Official Use Only - AMD Internal Distribution Only]&amp;1#_x000D_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6E1E-79D0-497F-ACC8-E6A225A638C8}">
  <sheetPr published="0" codeName="Sheet3"/>
  <dimension ref="A1:C21"/>
  <sheetViews>
    <sheetView workbookViewId="0">
      <selection sqref="A1:D1"/>
    </sheetView>
  </sheetViews>
  <sheetFormatPr defaultColWidth="8.42578125" defaultRowHeight="15" x14ac:dyDescent="0.25"/>
  <cols>
    <col min="1" max="1" width="7.42578125" style="4" customWidth="1"/>
    <col min="2" max="2" width="58.42578125" style="2" bestFit="1" customWidth="1"/>
    <col min="3" max="3" width="55" customWidth="1"/>
    <col min="4" max="4" width="13" customWidth="1"/>
  </cols>
  <sheetData>
    <row r="1" spans="1:3" x14ac:dyDescent="0.25">
      <c r="A1" s="6" t="s">
        <v>49</v>
      </c>
    </row>
    <row r="3" spans="1:3" x14ac:dyDescent="0.25">
      <c r="A3" s="8" t="s">
        <v>50</v>
      </c>
      <c r="B3" s="10" t="s">
        <v>51</v>
      </c>
      <c r="C3" s="3" t="s">
        <v>52</v>
      </c>
    </row>
    <row r="4" spans="1:3" ht="37.5" customHeight="1" x14ac:dyDescent="0.25">
      <c r="A4" s="9">
        <v>1</v>
      </c>
      <c r="B4" s="11" t="s">
        <v>53</v>
      </c>
      <c r="C4" s="5"/>
    </row>
    <row r="5" spans="1:3" ht="36" customHeight="1" x14ac:dyDescent="0.25">
      <c r="A5" s="9">
        <v>2</v>
      </c>
      <c r="B5" s="11" t="s">
        <v>54</v>
      </c>
      <c r="C5" s="5"/>
    </row>
    <row r="6" spans="1:3" ht="76.5" customHeight="1" x14ac:dyDescent="0.25">
      <c r="A6" s="9">
        <v>3</v>
      </c>
      <c r="B6" s="11" t="s">
        <v>55</v>
      </c>
      <c r="C6" s="5"/>
    </row>
    <row r="7" spans="1:3" ht="54" customHeight="1" x14ac:dyDescent="0.25">
      <c r="A7" s="9">
        <v>4</v>
      </c>
      <c r="B7" s="11" t="s">
        <v>56</v>
      </c>
      <c r="C7" s="5"/>
    </row>
    <row r="8" spans="1:3" ht="105" customHeight="1" x14ac:dyDescent="0.25">
      <c r="A8" s="9">
        <v>5</v>
      </c>
      <c r="B8" s="11" t="s">
        <v>57</v>
      </c>
      <c r="C8" s="5"/>
    </row>
    <row r="9" spans="1:3" x14ac:dyDescent="0.25">
      <c r="A9" s="1"/>
      <c r="B9" s="12"/>
      <c r="C9" s="13"/>
    </row>
    <row r="10" spans="1:3" x14ac:dyDescent="0.25">
      <c r="A10" s="1"/>
      <c r="B10" s="12"/>
      <c r="C10" s="13"/>
    </row>
    <row r="11" spans="1:3" x14ac:dyDescent="0.25">
      <c r="A11" s="1"/>
      <c r="B11" s="12"/>
      <c r="C11" s="13"/>
    </row>
    <row r="12" spans="1:3" x14ac:dyDescent="0.25">
      <c r="A12" s="1"/>
      <c r="B12" s="12"/>
      <c r="C12" s="13"/>
    </row>
    <row r="13" spans="1:3" x14ac:dyDescent="0.25">
      <c r="A13" s="1"/>
      <c r="B13" s="12"/>
      <c r="C13" s="13"/>
    </row>
    <row r="14" spans="1:3" x14ac:dyDescent="0.25">
      <c r="A14" s="1"/>
      <c r="B14" s="12"/>
      <c r="C14" s="13"/>
    </row>
    <row r="15" spans="1:3" x14ac:dyDescent="0.25">
      <c r="A15" s="1"/>
      <c r="B15" s="12"/>
      <c r="C15" s="13"/>
    </row>
    <row r="16" spans="1:3" x14ac:dyDescent="0.25">
      <c r="A16" s="1"/>
      <c r="B16" s="12"/>
      <c r="C16" s="13"/>
    </row>
    <row r="17" spans="1:3" x14ac:dyDescent="0.25">
      <c r="A17" s="1"/>
      <c r="B17" s="12"/>
      <c r="C17" s="13"/>
    </row>
    <row r="18" spans="1:3" x14ac:dyDescent="0.25">
      <c r="A18" s="1"/>
      <c r="B18" s="12"/>
      <c r="C18" s="13"/>
    </row>
    <row r="19" spans="1:3" x14ac:dyDescent="0.25">
      <c r="A19" s="1"/>
      <c r="B19" s="12"/>
      <c r="C19" s="13"/>
    </row>
    <row r="20" spans="1:3" x14ac:dyDescent="0.25">
      <c r="A20" s="1"/>
      <c r="B20" s="12"/>
      <c r="C20" s="13"/>
    </row>
    <row r="21" spans="1:3" x14ac:dyDescent="0.25">
      <c r="A21" s="1"/>
      <c r="B21" s="12"/>
      <c r="C21" s="13"/>
    </row>
  </sheetData>
  <pageMargins left="0.7" right="0.7" top="0.75" bottom="0.75" header="0.3" footer="0.3"/>
  <headerFooter>
    <oddHeader>&amp;L&amp;"Calibri"&amp;10&amp;K0000FF [AMD Official Use Only - AMD Internal Distribution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E816D-FD47-4A58-BB5D-51711E054F23}">
  <sheetPr published="0" codeName="Sheet10"/>
  <dimension ref="B1:AC123"/>
  <sheetViews>
    <sheetView workbookViewId="0">
      <pane ySplit="2" topLeftCell="A3" activePane="bottomLeft" state="frozen"/>
      <selection sqref="A1:D1"/>
      <selection pane="bottomLeft" activeCell="F21" sqref="F21"/>
    </sheetView>
  </sheetViews>
  <sheetFormatPr defaultColWidth="8.42578125" defaultRowHeight="15" x14ac:dyDescent="0.25"/>
  <cols>
    <col min="1" max="1" width="8.42578125" style="89"/>
    <col min="2" max="2" width="41.42578125" style="89" bestFit="1" customWidth="1"/>
    <col min="3" max="3" width="9.42578125" style="89" bestFit="1" customWidth="1"/>
    <col min="4" max="4" width="13.42578125" style="89" bestFit="1" customWidth="1"/>
    <col min="5" max="5" width="8.42578125" style="89"/>
    <col min="6" max="12" width="12" style="89" customWidth="1"/>
    <col min="13" max="13" width="10.42578125" style="89" customWidth="1"/>
    <col min="14" max="14" width="13" style="89" customWidth="1"/>
    <col min="15" max="15" width="22.28515625" style="89" customWidth="1"/>
    <col min="16" max="16" width="30.140625" style="89" customWidth="1"/>
    <col min="17" max="21" width="11.28515625" style="89" customWidth="1"/>
    <col min="22" max="22" width="22" style="89" customWidth="1"/>
    <col min="23" max="29" width="13.5703125" style="89" customWidth="1"/>
    <col min="30" max="16384" width="8.42578125" style="89"/>
  </cols>
  <sheetData>
    <row r="1" spans="2:29" x14ac:dyDescent="0.25">
      <c r="B1" s="144" t="s">
        <v>58</v>
      </c>
      <c r="F1" s="144" t="s">
        <v>59</v>
      </c>
      <c r="M1" s="144" t="s">
        <v>60</v>
      </c>
      <c r="N1" s="144"/>
      <c r="V1" s="144" t="s">
        <v>61</v>
      </c>
    </row>
    <row r="2" spans="2:29" x14ac:dyDescent="0.25">
      <c r="B2" s="89" t="s">
        <v>62</v>
      </c>
      <c r="C2" s="89" t="s">
        <v>6</v>
      </c>
      <c r="D2" s="89" t="s">
        <v>5</v>
      </c>
      <c r="F2" s="89" t="s">
        <v>63</v>
      </c>
      <c r="G2" s="89" t="s">
        <v>11</v>
      </c>
      <c r="H2" s="89" t="s">
        <v>64</v>
      </c>
      <c r="I2" s="89" t="s">
        <v>9</v>
      </c>
      <c r="J2" s="89" t="s">
        <v>0</v>
      </c>
      <c r="K2" s="89" t="s">
        <v>65</v>
      </c>
      <c r="M2" s="89" t="s">
        <v>66</v>
      </c>
      <c r="N2" s="89" t="s">
        <v>67</v>
      </c>
      <c r="O2" s="89" t="s">
        <v>25</v>
      </c>
      <c r="P2" s="89" t="s">
        <v>20</v>
      </c>
      <c r="Q2" s="89" t="s">
        <v>15</v>
      </c>
      <c r="R2" s="89" t="s">
        <v>68</v>
      </c>
      <c r="S2" s="89" t="s">
        <v>69</v>
      </c>
      <c r="T2" s="89" t="s">
        <v>70</v>
      </c>
      <c r="U2" s="89" t="s">
        <v>71</v>
      </c>
      <c r="V2" s="89" t="s">
        <v>72</v>
      </c>
      <c r="W2" s="89" t="s">
        <v>73</v>
      </c>
      <c r="X2" s="89" t="s">
        <v>74</v>
      </c>
      <c r="Y2" s="89" t="s">
        <v>75</v>
      </c>
      <c r="Z2" s="89" t="s">
        <v>76</v>
      </c>
      <c r="AA2" s="89" t="s">
        <v>77</v>
      </c>
      <c r="AB2" s="89" t="s">
        <v>78</v>
      </c>
      <c r="AC2" s="89" t="s">
        <v>79</v>
      </c>
    </row>
    <row r="3" spans="2:29" x14ac:dyDescent="0.25">
      <c r="B3" s="89" t="s">
        <v>80</v>
      </c>
      <c r="C3" s="89" t="s">
        <v>67</v>
      </c>
      <c r="D3" s="89" t="s">
        <v>81</v>
      </c>
      <c r="F3" s="89" t="s">
        <v>82</v>
      </c>
      <c r="G3" s="89" t="s">
        <v>23</v>
      </c>
      <c r="H3" s="145">
        <v>57001.201725000043</v>
      </c>
      <c r="I3" s="146" t="s">
        <v>22</v>
      </c>
      <c r="K3" s="89" t="s">
        <v>83</v>
      </c>
      <c r="M3" s="89" t="s">
        <v>25</v>
      </c>
      <c r="N3" s="89" t="s">
        <v>84</v>
      </c>
      <c r="O3" s="89" t="str" cm="1">
        <f t="array" ref="O3:O35">_xlfn._xlws.SORT(_xlfn.UNIQUE(_xlfn._xlws.FILTER('[1]Active Alloc_Files'!$A$3:$A$100,'[1]Active Alloc_Files'!$H$3:$H$100=O2)),,1)</f>
        <v>alloc_BTSR</v>
      </c>
      <c r="P3" s="89" t="str" cm="1">
        <f t="array" ref="P3">_xlfn._xlws.SORT(_xlfn.UNIQUE(_xlfn._xlws.FILTER('[1]Active Alloc_Files'!$A$3:$A$100,'[1]Active Alloc_Files'!$H$3:$H$100=P2)),,1)</f>
        <v>alloc_Product Security</v>
      </c>
      <c r="Q3" s="89" t="str" cm="1">
        <f t="array" ref="Q3:Q22">_xlfn._xlws.SORT(_xlfn.UNIQUE(_xlfn._xlws.FILTER('[1]Active Alloc_Files'!$A$3:$A$100,'[1]Active Alloc_Files'!$H$3:$H$100=Q2)),,1)</f>
        <v>alloc_CE Markham</v>
      </c>
      <c r="R3" s="89" t="str" cm="1">
        <f t="array" ref="R3:R11">_xlfn._xlws.SORT(_xlfn.UNIQUE(_xlfn._xlws.FILTER('[1]Active Alloc_Files'!$A$3:$A$100,'[1]Active Alloc_Files'!$H$3:$H$100=R2)),,1)</f>
        <v>alloc_SQA Client APU</v>
      </c>
      <c r="S3" s="89" t="str" cm="1">
        <f t="array" ref="S3:S17">_xlfn._xlws.SORT(_xlfn.UNIQUE(_xlfn._xlws.FILTER('[1]Active Alloc_Files'!$A$3:$A$100,'[1]Active Alloc_Files'!$H$3:$H$100=S2)),,1)</f>
        <v>alloc_Display Solution_AlexS</v>
      </c>
      <c r="T3" s="89" t="str" cm="1">
        <f t="array" ref="T3">_xlfn._xlws.SORT(_xlfn.UNIQUE(_xlfn._xlws.FILTER('[1]Active Alloc_Files'!$A$3:$A$100,'[1]Active Alloc_Files'!$H$3:$H$100=T2)),,1)</f>
        <v>alloc_ux</v>
      </c>
      <c r="U3" s="89" t="str" cm="1">
        <f t="array" ref="U3">_xlfn._xlws.SORT(_xlfn.UNIQUE(_xlfn._xlws.FILTER('[1]Active Alloc_Files'!$A$3:$A$100,'[1]Active Alloc_Files'!$H$3:$H$100=U2)),,1)</f>
        <v>alloc_Software Technologies</v>
      </c>
      <c r="V3" s="89" t="str" cm="1">
        <f t="array" ref="V3:V13">_xlfn._xlws.SORT(_xlfn.UNIQUE(_xlfn._xlws.FILTER([2]Directors!$B$2:$B$58,[2]Directors!$J$2:$J$58=N$2,"")),,1)</f>
        <v>SPG_3D_ArchNPIPM</v>
      </c>
      <c r="W3" s="89" t="str" cm="1">
        <f t="array" ref="W3:W14">_xlfn._xlws.SORT(_xlfn.UNIQUE(_xlfn._xlws.FILTER([2]Directors!$B$2:$B$58,[2]Directors!$J$2:$J$58=O$2,"")),,1)</f>
        <v>SPG_ADV Technology</v>
      </c>
      <c r="X3" s="89" t="str" cm="1">
        <f t="array" ref="X3">_xlfn._xlws.SORT(_xlfn.UNIQUE(_xlfn._xlws.FILTER([2]Directors!$B$2:$B$58,[2]Directors!$J$2:$J$58=P$2,"")),,1)</f>
        <v>SPG_Security</v>
      </c>
      <c r="Y3" s="89" t="str" cm="1">
        <f t="array" ref="Y3:Y8">_xlfn._xlws.SORT(_xlfn.UNIQUE(_xlfn._xlws.FILTER([2]Directors!$B$2:$B$58,[2]Directors!$J$2:$J$58=Q$2,"")),,1)</f>
        <v>SPG_CSE_FirstPartner_Customer Engineering</v>
      </c>
      <c r="Z3" s="89" t="str" cm="1">
        <f t="array" ref="Z3:Z5">_xlfn._xlws.SORT(_xlfn.UNIQUE(_xlfn._xlws.FILTER([2]Directors!$B$2:$B$58,[2]Directors!$J$2:$J$58=R$2,"")),,1)</f>
        <v>SPG_SSE Infrastructure</v>
      </c>
      <c r="AA3" s="89" t="str" cm="1">
        <f t="array" ref="AA3:AA7">_xlfn._xlws.SORT(_xlfn.UNIQUE(_xlfn._xlws.FILTER([2]Directors!$B$2:$B$58,[2]Directors!$J$2:$J$58=S$2,"")),,1)</f>
        <v>SPG_Display NPI</v>
      </c>
      <c r="AB3" s="89" t="str" cm="1">
        <f t="array" ref="AB3">_xlfn._xlws.SORT(_xlfn.UNIQUE(_xlfn._xlws.FILTER([2]Directors!$B$2:$B$58,[2]Directors!$J$2:$J$58=T$2,"")),,1)</f>
        <v>SPG_Roadmap Installer User Experience</v>
      </c>
      <c r="AC3" s="89" t="str" cm="1">
        <f t="array" ref="AC3">_xlfn._xlws.SORT(_xlfn.UNIQUE(_xlfn._xlws.FILTER([2]Directors!$B$2:$B$58,[2]Directors!$J$2:$J$58=U$2,"")),,1)</f>
        <v>SPG_SW Technology</v>
      </c>
    </row>
    <row r="4" spans="2:29" x14ac:dyDescent="0.25">
      <c r="B4" s="147" t="s">
        <v>85</v>
      </c>
      <c r="C4" s="89" t="s">
        <v>67</v>
      </c>
      <c r="D4" s="89" t="s">
        <v>81</v>
      </c>
      <c r="F4" s="89" t="s">
        <v>86</v>
      </c>
      <c r="G4" s="89" t="s">
        <v>18</v>
      </c>
      <c r="H4" s="145">
        <v>30452.763592115898</v>
      </c>
      <c r="I4" s="89" t="s">
        <v>87</v>
      </c>
      <c r="J4" s="89" t="s">
        <v>88</v>
      </c>
      <c r="K4" s="89" t="s">
        <v>89</v>
      </c>
      <c r="M4" s="89" t="s">
        <v>20</v>
      </c>
      <c r="O4" s="89" t="str">
        <v>alloc_CG 3D Drivers and Compilers</v>
      </c>
      <c r="Q4" s="89" t="str">
        <v>alloc_CSE_CEPM</v>
      </c>
      <c r="R4" s="89" t="str">
        <v>alloc_SQA Core and Common Services</v>
      </c>
      <c r="S4" s="89" t="str">
        <v>alloc_Display Solution_CharlieW</v>
      </c>
      <c r="V4" s="89" t="str">
        <v>SPG_3D_CQE</v>
      </c>
      <c r="W4" s="89" t="str">
        <v>SPG_FWProgMgmt</v>
      </c>
      <c r="Y4" s="89" t="str">
        <v>SPG_CSE_FirstPartner_FAST</v>
      </c>
      <c r="Z4" s="89" t="str">
        <v>SPG_SSE QA</v>
      </c>
      <c r="AA4" s="89" t="str">
        <v>SPG_MM Audio</v>
      </c>
    </row>
    <row r="5" spans="2:29" x14ac:dyDescent="0.25">
      <c r="B5" s="147" t="s">
        <v>90</v>
      </c>
      <c r="C5" s="89" t="s">
        <v>67</v>
      </c>
      <c r="D5" s="89" t="s">
        <v>81</v>
      </c>
      <c r="F5" s="89" t="s">
        <v>91</v>
      </c>
      <c r="H5" s="145">
        <v>30452.763592115898</v>
      </c>
      <c r="I5" s="146" t="s">
        <v>92</v>
      </c>
      <c r="J5" s="89" t="s">
        <v>1</v>
      </c>
      <c r="K5" s="89" t="s">
        <v>93</v>
      </c>
      <c r="M5" s="89" t="s">
        <v>71</v>
      </c>
      <c r="O5" s="89" t="str">
        <v>alloc_CP</v>
      </c>
      <c r="Q5" s="89" t="str">
        <v>alloc_CSE_CoreSW</v>
      </c>
      <c r="R5" s="89" t="str">
        <v>alloc_SQA CVSAI</v>
      </c>
      <c r="S5" s="89" t="str">
        <v>alloc_Display Solution_EricC</v>
      </c>
      <c r="V5" s="89" t="str">
        <v>SPG_3D_Perf_Arch</v>
      </c>
      <c r="W5" s="89" t="str">
        <v>SPG_Platform Security</v>
      </c>
      <c r="Y5" s="89" t="str">
        <v>SPG_Customer Eng</v>
      </c>
      <c r="Z5" s="89" t="str">
        <v>SPG_SSE RM</v>
      </c>
      <c r="AA5" s="89" t="str">
        <v>SPG_MM Video NPI</v>
      </c>
    </row>
    <row r="6" spans="2:29" x14ac:dyDescent="0.25">
      <c r="B6" s="89" t="s">
        <v>94</v>
      </c>
      <c r="C6" s="89" t="s">
        <v>67</v>
      </c>
      <c r="D6" s="89" t="s">
        <v>81</v>
      </c>
      <c r="F6" s="89" t="s">
        <v>95</v>
      </c>
      <c r="H6" s="145">
        <v>30452.763592115898</v>
      </c>
      <c r="I6" s="89" t="s">
        <v>96</v>
      </c>
      <c r="J6" s="89" t="s">
        <v>97</v>
      </c>
      <c r="K6" s="89" t="s">
        <v>98</v>
      </c>
      <c r="M6" s="89" t="s">
        <v>15</v>
      </c>
      <c r="O6" s="89" t="str">
        <v>alloc_MLS_Linux_1</v>
      </c>
      <c r="Q6" s="89" t="str">
        <v>alloc_CSE_CPMCN</v>
      </c>
      <c r="R6" s="89" t="str">
        <v>alloc_SQA GW dGPU</v>
      </c>
      <c r="S6" s="89" t="str">
        <v>alloc_Display Solution_JagM</v>
      </c>
      <c r="V6" s="89" t="str">
        <v>SPG_3D_PerfML</v>
      </c>
      <c r="W6" s="89" t="str">
        <v>SPG_Platform SW Arch</v>
      </c>
      <c r="Y6" s="89" t="str">
        <v>SPG_Mac Platform</v>
      </c>
      <c r="AA6" s="89" t="str">
        <v>SPG_MM Video NTI</v>
      </c>
    </row>
    <row r="7" spans="2:29" x14ac:dyDescent="0.25">
      <c r="B7" s="147" t="s">
        <v>99</v>
      </c>
      <c r="C7" s="89" t="s">
        <v>67</v>
      </c>
      <c r="D7" s="89" t="s">
        <v>81</v>
      </c>
      <c r="F7" s="89" t="s">
        <v>100</v>
      </c>
      <c r="H7" s="145">
        <v>30452.763592115898</v>
      </c>
      <c r="I7" s="89" t="s">
        <v>101</v>
      </c>
      <c r="M7" s="89" t="s">
        <v>67</v>
      </c>
      <c r="O7" s="89" t="str">
        <v>alloc_MLS_Linux_2</v>
      </c>
      <c r="Q7" s="89" t="str">
        <v>alloc_CSE_CPMTW</v>
      </c>
      <c r="R7" s="89" t="str">
        <v>alloc_SQA Product Support and Enablement</v>
      </c>
      <c r="S7" s="89" t="str">
        <v>alloc_Display Solution_MazenS</v>
      </c>
      <c r="V7" s="89" t="str">
        <v>SPG_3D_Tooling</v>
      </c>
      <c r="W7" s="89" t="str">
        <v>SPG_Platform Virtualization</v>
      </c>
      <c r="Y7" s="89" t="str">
        <v>SPG_Operations</v>
      </c>
      <c r="AA7" s="89" t="str">
        <v>SPG_VPE &amp; DisplayNTI</v>
      </c>
    </row>
    <row r="8" spans="2:29" x14ac:dyDescent="0.25">
      <c r="B8" s="147" t="s">
        <v>102</v>
      </c>
      <c r="C8" s="89" t="s">
        <v>67</v>
      </c>
      <c r="D8" s="89" t="s">
        <v>103</v>
      </c>
      <c r="F8" s="89" t="s">
        <v>104</v>
      </c>
      <c r="H8" s="145">
        <v>30452.763592115898</v>
      </c>
      <c r="I8" s="146" t="s">
        <v>105</v>
      </c>
      <c r="M8" s="89" t="s">
        <v>68</v>
      </c>
      <c r="O8" s="89" t="str">
        <v>alloc_MLS_Linux_3</v>
      </c>
      <c r="Q8" s="89" t="str">
        <v>alloc_CSE_Management</v>
      </c>
      <c r="R8" s="89" t="str">
        <v>alloc_SQA Solutions</v>
      </c>
      <c r="S8" s="89" t="str">
        <v>alloc_Display Solution_MichaelV</v>
      </c>
      <c r="V8" s="89" t="str">
        <v>SPG_D3D</v>
      </c>
      <c r="W8" s="89" t="str">
        <v>SPG_Platform Windows</v>
      </c>
      <c r="Y8" s="89" t="str">
        <v>SPG_SW_ProgramManagers</v>
      </c>
    </row>
    <row r="9" spans="2:29" x14ac:dyDescent="0.25">
      <c r="B9" s="147" t="s">
        <v>106</v>
      </c>
      <c r="C9" s="89" t="s">
        <v>67</v>
      </c>
      <c r="D9" s="89" t="s">
        <v>103</v>
      </c>
      <c r="F9" s="89" t="s">
        <v>107</v>
      </c>
      <c r="H9" s="145">
        <v>30138.249515086281</v>
      </c>
      <c r="I9" s="146" t="s">
        <v>17</v>
      </c>
      <c r="M9" s="89" t="s">
        <v>69</v>
      </c>
      <c r="O9" s="89" t="str">
        <v>alloc_MLS_Linux_4</v>
      </c>
      <c r="Q9" s="89" t="str">
        <v>alloc_CSE_Strategic</v>
      </c>
      <c r="R9" s="89" t="str">
        <v>alloc_SWInfra_IND</v>
      </c>
      <c r="S9" s="89" t="str">
        <v>alloc_Display Solution_NikolaC</v>
      </c>
      <c r="V9" s="89" t="str">
        <v>SPG_HYD Graphics CQE</v>
      </c>
      <c r="W9" s="89" t="str">
        <v>SPG_Platform_Linux</v>
      </c>
    </row>
    <row r="10" spans="2:29" x14ac:dyDescent="0.25">
      <c r="B10" s="89" t="s">
        <v>108</v>
      </c>
      <c r="C10" s="89" t="s">
        <v>67</v>
      </c>
      <c r="D10" s="89" t="s">
        <v>81</v>
      </c>
      <c r="F10" s="89" t="s">
        <v>109</v>
      </c>
      <c r="H10" s="145">
        <v>12203.03967741935</v>
      </c>
      <c r="I10" s="146" t="s">
        <v>110</v>
      </c>
      <c r="O10" s="89" t="str">
        <v>alloc_OS_MUL_Security_Kernel_BLR</v>
      </c>
      <c r="Q10" s="89" t="str">
        <v>alloc_CSE_SWAE</v>
      </c>
      <c r="R10" s="89" t="str">
        <v>alloc_swinfra_na</v>
      </c>
      <c r="S10" s="89" t="str">
        <v>alloc_Display Solution_VladmirVelenta</v>
      </c>
      <c r="V10" s="89" t="str">
        <v>SPG_Khronos3D</v>
      </c>
      <c r="W10" s="89" t="str">
        <v>SPG_PMFW</v>
      </c>
    </row>
    <row r="11" spans="2:29" x14ac:dyDescent="0.25">
      <c r="B11" s="89" t="s">
        <v>111</v>
      </c>
      <c r="C11" s="89" t="s">
        <v>67</v>
      </c>
      <c r="D11" s="89" t="s">
        <v>81</v>
      </c>
      <c r="F11" s="89" t="s">
        <v>112</v>
      </c>
      <c r="H11" s="145">
        <v>30452.763592115898</v>
      </c>
      <c r="I11" s="146" t="s">
        <v>113</v>
      </c>
      <c r="O11" s="89" t="str">
        <v>alloc_PFO_PM_Arch</v>
      </c>
      <c r="Q11" s="89" t="str">
        <v>alloc_CSE_TL</v>
      </c>
      <c r="R11" s="89" t="str">
        <v>alloc_swrelman</v>
      </c>
      <c r="S11" s="89" t="str">
        <v>alloc_Display_MM_VP_Direct Reports</v>
      </c>
      <c r="V11" s="89" t="str">
        <v>SPG_Mac 3D</v>
      </c>
      <c r="W11" s="89" t="str">
        <v>SPG_SPIO</v>
      </c>
    </row>
    <row r="12" spans="2:29" x14ac:dyDescent="0.25">
      <c r="B12" s="89" t="s">
        <v>114</v>
      </c>
      <c r="C12" s="89" t="s">
        <v>67</v>
      </c>
      <c r="D12" s="89" t="s">
        <v>81</v>
      </c>
      <c r="F12" s="89" t="s">
        <v>115</v>
      </c>
      <c r="H12" s="145">
        <v>26138.97</v>
      </c>
      <c r="I12" s="89" t="s">
        <v>116</v>
      </c>
      <c r="O12" s="89" t="str">
        <v>alloc_Platform SW Arch</v>
      </c>
      <c r="Q12" s="89" t="str">
        <v>alloc_PMO Common_BrianW</v>
      </c>
      <c r="S12" s="89" t="str">
        <v>alloc_Gaming_Engineering</v>
      </c>
      <c r="V12" s="89" t="str">
        <v>SPG_PAL</v>
      </c>
      <c r="W12" s="89" t="str">
        <v>SPG_VBIOS CP</v>
      </c>
    </row>
    <row r="13" spans="2:29" x14ac:dyDescent="0.25">
      <c r="B13" s="89" t="s">
        <v>117</v>
      </c>
      <c r="C13" s="89" t="s">
        <v>67</v>
      </c>
      <c r="D13" s="89" t="s">
        <v>81</v>
      </c>
      <c r="H13" s="145">
        <v>24974.506238532111</v>
      </c>
      <c r="I13" s="146" t="s">
        <v>118</v>
      </c>
      <c r="O13" s="89" t="str">
        <v>alloc_PMFW</v>
      </c>
      <c r="Q13" s="89" t="str">
        <v>alloc_PMO Common_PaulM</v>
      </c>
      <c r="S13" s="89" t="str">
        <v>alloc_mmdrivers_video_encode</v>
      </c>
      <c r="V13" s="89" t="str">
        <v>SPG_ShaderCompiler</v>
      </c>
      <c r="W13" s="89" t="str">
        <v>SPG_VBIOS RLC</v>
      </c>
    </row>
    <row r="14" spans="2:29" x14ac:dyDescent="0.25">
      <c r="B14" s="89" t="s">
        <v>119</v>
      </c>
      <c r="C14" s="89" t="s">
        <v>67</v>
      </c>
      <c r="D14" s="89" t="s">
        <v>81</v>
      </c>
      <c r="H14" s="145">
        <v>17893.502181818174</v>
      </c>
      <c r="I14" s="146" t="s">
        <v>120</v>
      </c>
      <c r="O14" s="89" t="str">
        <v>alloc_PPL_ATG</v>
      </c>
      <c r="Q14" s="89" t="str">
        <v>alloc_PMO Common_SharmilyB</v>
      </c>
      <c r="S14" s="89" t="str">
        <v>alloc_mmdrivers_video_playback_pipelines</v>
      </c>
      <c r="W14" s="89" t="str">
        <v>SPG_VBIOS VBL</v>
      </c>
    </row>
    <row r="15" spans="2:29" x14ac:dyDescent="0.25">
      <c r="B15" s="89" t="s">
        <v>121</v>
      </c>
      <c r="C15" s="89" t="s">
        <v>67</v>
      </c>
      <c r="D15" s="89" t="s">
        <v>81</v>
      </c>
      <c r="H15" s="145">
        <v>53696.445</v>
      </c>
      <c r="I15" s="89" t="s">
        <v>122</v>
      </c>
      <c r="O15" s="89" t="str">
        <v>alloc_PPL_Virtualization</v>
      </c>
      <c r="Q15" s="89" t="str">
        <v>alloc_PMO Common_VithalP</v>
      </c>
      <c r="S15" s="89" t="str">
        <v>alloc_SWDEV_HYD_MM_Audio_NonWin</v>
      </c>
    </row>
    <row r="16" spans="2:29" x14ac:dyDescent="0.25">
      <c r="B16" s="89" t="s">
        <v>123</v>
      </c>
      <c r="C16" s="89" t="s">
        <v>67</v>
      </c>
      <c r="D16" s="89" t="s">
        <v>81</v>
      </c>
      <c r="H16" s="145">
        <v>35285.140714285713</v>
      </c>
      <c r="I16" s="146" t="s">
        <v>124</v>
      </c>
      <c r="O16" s="89" t="str">
        <v>alloc_PSPSecurity_MKM</v>
      </c>
      <c r="Q16" s="89" t="str">
        <v>alloc_Program Management_AlejandroR</v>
      </c>
      <c r="S16" s="89" t="str">
        <v>alloc_SWDEV_HYD_MM_Audio_Win</v>
      </c>
    </row>
    <row r="17" spans="2:19" x14ac:dyDescent="0.25">
      <c r="B17" s="89" t="s">
        <v>125</v>
      </c>
      <c r="C17" s="89" t="s">
        <v>67</v>
      </c>
      <c r="D17" s="89" t="s">
        <v>103</v>
      </c>
      <c r="H17" s="145">
        <v>41547.429999999993</v>
      </c>
      <c r="I17" s="146" t="s">
        <v>126</v>
      </c>
      <c r="O17" s="89" t="str">
        <v>alloc_RLC</v>
      </c>
      <c r="Q17" s="89" t="str">
        <v>alloc_Program Management_DerekY</v>
      </c>
      <c r="S17" s="89" t="str">
        <v>alloc_SWDEV_HYD_MM_Video</v>
      </c>
    </row>
    <row r="18" spans="2:19" x14ac:dyDescent="0.25">
      <c r="B18" s="89" t="s">
        <v>127</v>
      </c>
      <c r="C18" s="89" t="s">
        <v>67</v>
      </c>
      <c r="D18" s="89" t="s">
        <v>103</v>
      </c>
      <c r="H18" s="145">
        <v>50477.43</v>
      </c>
      <c r="I18" s="146" t="s">
        <v>128</v>
      </c>
      <c r="O18" s="89" t="str">
        <v>alloc_SPIO</v>
      </c>
      <c r="Q18" s="89" t="str">
        <v>alloc_Program Management_JonB</v>
      </c>
    </row>
    <row r="19" spans="2:19" x14ac:dyDescent="0.25">
      <c r="B19" s="147" t="s">
        <v>129</v>
      </c>
      <c r="C19" s="89" t="s">
        <v>25</v>
      </c>
      <c r="D19" s="89" t="s">
        <v>130</v>
      </c>
      <c r="H19" s="145">
        <v>55809.11437499999</v>
      </c>
      <c r="I19" s="146" t="s">
        <v>131</v>
      </c>
      <c r="O19" s="89" t="str">
        <v>alloc_VBL</v>
      </c>
      <c r="Q19" s="89" t="str">
        <v>alloc_Program Management_ReyE</v>
      </c>
    </row>
    <row r="20" spans="2:19" x14ac:dyDescent="0.25">
      <c r="B20" s="147" t="s">
        <v>132</v>
      </c>
      <c r="C20" s="89" t="s">
        <v>25</v>
      </c>
      <c r="D20" s="89" t="s">
        <v>130</v>
      </c>
      <c r="H20" s="145">
        <v>39047.15</v>
      </c>
      <c r="I20" s="146" t="s">
        <v>133</v>
      </c>
      <c r="O20" s="89" t="str">
        <v>alloc_VPs_DirectReports</v>
      </c>
      <c r="Q20" s="89" t="str">
        <v>alloc_Program Management_StefanT</v>
      </c>
    </row>
    <row r="21" spans="2:19" x14ac:dyDescent="0.25">
      <c r="B21" s="147" t="s">
        <v>134</v>
      </c>
      <c r="C21" s="89" t="s">
        <v>25</v>
      </c>
      <c r="D21" s="89" t="s">
        <v>130</v>
      </c>
      <c r="H21" s="145">
        <v>25848.236249999998</v>
      </c>
      <c r="I21" s="146" t="s">
        <v>135</v>
      </c>
      <c r="O21" s="89" t="str">
        <v>alloc_WSPG_BG_KMD_CORE</v>
      </c>
      <c r="Q21" s="89" t="str">
        <v>alloc_Program Management_SW Client and NOI</v>
      </c>
    </row>
    <row r="22" spans="2:19" x14ac:dyDescent="0.25">
      <c r="B22" s="147" t="s">
        <v>136</v>
      </c>
      <c r="C22" s="89" t="s">
        <v>25</v>
      </c>
      <c r="D22" s="89" t="s">
        <v>130</v>
      </c>
      <c r="H22" s="145">
        <v>27870.18</v>
      </c>
      <c r="I22" s="146" t="s">
        <v>137</v>
      </c>
      <c r="O22" s="89" t="str">
        <v>alloc_WSPG_BG_KMD_Hyderabad</v>
      </c>
      <c r="Q22" s="89" t="str">
        <v>alloc_Program Management_VioF</v>
      </c>
    </row>
    <row r="23" spans="2:19" x14ac:dyDescent="0.25">
      <c r="B23" s="89" t="s">
        <v>138</v>
      </c>
      <c r="C23" s="89" t="s">
        <v>25</v>
      </c>
      <c r="D23" s="89" t="s">
        <v>130</v>
      </c>
      <c r="H23" s="145">
        <v>12203.03967741935</v>
      </c>
      <c r="I23" s="146" t="s">
        <v>139</v>
      </c>
      <c r="O23" s="89" t="str">
        <v>alloc_WSPG_BG_KMD_Solutions_CAN</v>
      </c>
    </row>
    <row r="24" spans="2:19" x14ac:dyDescent="0.25">
      <c r="B24" s="147" t="s">
        <v>140</v>
      </c>
      <c r="C24" s="89" t="s">
        <v>25</v>
      </c>
      <c r="D24" s="89" t="s">
        <v>141</v>
      </c>
      <c r="H24" s="145">
        <v>27275.208822115485</v>
      </c>
      <c r="I24" s="89" t="s">
        <v>29</v>
      </c>
      <c r="O24" s="89" t="str">
        <v>alloc_WSPG_BG_KMD_SRDC</v>
      </c>
    </row>
    <row r="25" spans="2:19" x14ac:dyDescent="0.25">
      <c r="B25" s="147" t="s">
        <v>142</v>
      </c>
      <c r="C25" s="89" t="s">
        <v>25</v>
      </c>
      <c r="D25" s="89" t="s">
        <v>141</v>
      </c>
      <c r="H25" s="145">
        <v>27275.208822115485</v>
      </c>
      <c r="I25" s="89" t="s">
        <v>143</v>
      </c>
      <c r="O25" s="89" t="str">
        <v>alloc_WSPG_BG_Leadership</v>
      </c>
    </row>
    <row r="26" spans="2:19" x14ac:dyDescent="0.25">
      <c r="B26" s="147" t="s">
        <v>144</v>
      </c>
      <c r="C26" s="89" t="s">
        <v>25</v>
      </c>
      <c r="D26" s="89" t="s">
        <v>141</v>
      </c>
      <c r="H26" s="145">
        <v>31000</v>
      </c>
      <c r="I26" s="146" t="s">
        <v>145</v>
      </c>
      <c r="O26" s="89" t="str">
        <v>alloc_WSPG_BG_System and Power</v>
      </c>
    </row>
    <row r="27" spans="2:19" x14ac:dyDescent="0.25">
      <c r="B27" s="147" t="s">
        <v>146</v>
      </c>
      <c r="C27" s="89" t="s">
        <v>25</v>
      </c>
      <c r="D27" s="89" t="s">
        <v>141</v>
      </c>
      <c r="O27" s="89" t="str">
        <v>alloc_WSPG_BG_Test and Tools</v>
      </c>
    </row>
    <row r="28" spans="2:19" x14ac:dyDescent="0.25">
      <c r="B28" s="147" t="s">
        <v>147</v>
      </c>
      <c r="C28" s="89" t="s">
        <v>25</v>
      </c>
      <c r="D28" s="89" t="s">
        <v>141</v>
      </c>
      <c r="O28" s="89" t="str">
        <v>alloc_WSPG_MsftInterface</v>
      </c>
    </row>
    <row r="29" spans="2:19" x14ac:dyDescent="0.25">
      <c r="B29" s="89" t="s">
        <v>148</v>
      </c>
      <c r="C29" s="89" t="s">
        <v>25</v>
      </c>
      <c r="D29" s="89" t="s">
        <v>141</v>
      </c>
      <c r="O29" s="89" t="str">
        <v>alloc_WSPG_PM_TL</v>
      </c>
    </row>
    <row r="30" spans="2:19" x14ac:dyDescent="0.25">
      <c r="B30" s="89" t="s">
        <v>27</v>
      </c>
      <c r="C30" s="89" t="s">
        <v>25</v>
      </c>
      <c r="D30" s="89" t="s">
        <v>141</v>
      </c>
      <c r="O30" s="89" t="str">
        <v>alloc_WSPG_QE_Core</v>
      </c>
    </row>
    <row r="31" spans="2:19" x14ac:dyDescent="0.25">
      <c r="B31" s="89" t="s">
        <v>149</v>
      </c>
      <c r="C31" s="89" t="s">
        <v>25</v>
      </c>
      <c r="D31" s="89" t="s">
        <v>141</v>
      </c>
      <c r="O31" s="89" t="str">
        <v>alloc_WSPG_QE_HYD</v>
      </c>
    </row>
    <row r="32" spans="2:19" x14ac:dyDescent="0.25">
      <c r="B32" s="89" t="s">
        <v>150</v>
      </c>
      <c r="C32" s="89" t="s">
        <v>25</v>
      </c>
      <c r="D32" s="89" t="s">
        <v>141</v>
      </c>
      <c r="O32" s="89" t="str">
        <v>alloc_WSPG_QE_MKM</v>
      </c>
    </row>
    <row r="33" spans="2:20" x14ac:dyDescent="0.25">
      <c r="B33" s="89" t="s">
        <v>151</v>
      </c>
      <c r="C33" s="89" t="s">
        <v>25</v>
      </c>
      <c r="D33" s="89" t="s">
        <v>141</v>
      </c>
      <c r="O33" s="89" t="str">
        <v>alloc_WSPG_QE_SRDC</v>
      </c>
    </row>
    <row r="34" spans="2:20" x14ac:dyDescent="0.25">
      <c r="B34" s="89" t="s">
        <v>152</v>
      </c>
      <c r="C34" s="89" t="s">
        <v>25</v>
      </c>
      <c r="D34" s="89" t="s">
        <v>141</v>
      </c>
      <c r="O34" s="89" t="str">
        <v>alloc_WSPG_QE_Stability_NTI</v>
      </c>
    </row>
    <row r="35" spans="2:20" x14ac:dyDescent="0.25">
      <c r="B35" s="89" t="s">
        <v>153</v>
      </c>
      <c r="C35" s="89" t="s">
        <v>25</v>
      </c>
      <c r="D35" s="89" t="s">
        <v>141</v>
      </c>
      <c r="O35" s="89" t="str">
        <v>alloc_WSPG_QE_TnD_NOI</v>
      </c>
    </row>
    <row r="36" spans="2:20" x14ac:dyDescent="0.25">
      <c r="B36" s="89" t="s">
        <v>154</v>
      </c>
      <c r="C36" s="89" t="s">
        <v>25</v>
      </c>
      <c r="D36" s="89" t="s">
        <v>141</v>
      </c>
    </row>
    <row r="37" spans="2:20" x14ac:dyDescent="0.25">
      <c r="B37" s="89" t="s">
        <v>155</v>
      </c>
      <c r="C37" s="89" t="s">
        <v>25</v>
      </c>
      <c r="D37" s="89" t="s">
        <v>141</v>
      </c>
    </row>
    <row r="38" spans="2:20" x14ac:dyDescent="0.25">
      <c r="B38" s="89" t="s">
        <v>156</v>
      </c>
      <c r="C38" s="89" t="s">
        <v>25</v>
      </c>
      <c r="D38" s="89" t="s">
        <v>141</v>
      </c>
    </row>
    <row r="39" spans="2:20" x14ac:dyDescent="0.25">
      <c r="B39" s="89" t="s">
        <v>157</v>
      </c>
      <c r="C39" s="89" t="s">
        <v>25</v>
      </c>
      <c r="D39" s="89" t="s">
        <v>141</v>
      </c>
    </row>
    <row r="40" spans="2:20" x14ac:dyDescent="0.25">
      <c r="B40" s="89" t="s">
        <v>158</v>
      </c>
      <c r="C40" s="89" t="s">
        <v>25</v>
      </c>
      <c r="D40" s="89" t="s">
        <v>141</v>
      </c>
    </row>
    <row r="41" spans="2:20" x14ac:dyDescent="0.25">
      <c r="B41" s="89" t="s">
        <v>159</v>
      </c>
      <c r="C41" s="89" t="s">
        <v>25</v>
      </c>
      <c r="D41" s="89" t="s">
        <v>141</v>
      </c>
    </row>
    <row r="42" spans="2:20" x14ac:dyDescent="0.25">
      <c r="B42" s="147" t="s">
        <v>160</v>
      </c>
      <c r="C42" s="89" t="s">
        <v>25</v>
      </c>
      <c r="D42" s="89" t="s">
        <v>141</v>
      </c>
    </row>
    <row r="43" spans="2:20" x14ac:dyDescent="0.25">
      <c r="B43" s="147" t="s">
        <v>161</v>
      </c>
      <c r="C43" s="89" t="s">
        <v>25</v>
      </c>
      <c r="D43" s="89" t="s">
        <v>141</v>
      </c>
      <c r="Q43" s="234"/>
      <c r="R43" s="234"/>
      <c r="S43" s="234"/>
      <c r="T43" s="234"/>
    </row>
    <row r="44" spans="2:20" x14ac:dyDescent="0.25">
      <c r="B44" s="89" t="s">
        <v>162</v>
      </c>
      <c r="C44" s="89" t="s">
        <v>25</v>
      </c>
      <c r="D44" s="89" t="s">
        <v>141</v>
      </c>
    </row>
    <row r="45" spans="2:20" x14ac:dyDescent="0.25">
      <c r="B45" s="147" t="s">
        <v>163</v>
      </c>
      <c r="C45" s="89" t="s">
        <v>25</v>
      </c>
      <c r="D45" s="89" t="s">
        <v>164</v>
      </c>
    </row>
    <row r="46" spans="2:20" x14ac:dyDescent="0.25">
      <c r="B46" s="89" t="s">
        <v>28</v>
      </c>
      <c r="C46" s="89" t="s">
        <v>25</v>
      </c>
      <c r="D46" s="89" t="s">
        <v>164</v>
      </c>
      <c r="M46" s="234"/>
      <c r="N46" s="234"/>
      <c r="O46" s="234"/>
      <c r="P46" s="234"/>
      <c r="Q46" s="234"/>
    </row>
    <row r="47" spans="2:20" x14ac:dyDescent="0.25">
      <c r="B47" s="147" t="s">
        <v>165</v>
      </c>
      <c r="C47" s="89" t="s">
        <v>25</v>
      </c>
      <c r="D47" s="89" t="s">
        <v>141</v>
      </c>
    </row>
    <row r="48" spans="2:20" x14ac:dyDescent="0.25">
      <c r="B48" s="89" t="s">
        <v>166</v>
      </c>
      <c r="C48" s="89" t="s">
        <v>25</v>
      </c>
      <c r="D48" s="89" t="s">
        <v>141</v>
      </c>
    </row>
    <row r="49" spans="2:4" x14ac:dyDescent="0.25">
      <c r="B49" s="89" t="s">
        <v>167</v>
      </c>
      <c r="C49" s="89" t="s">
        <v>25</v>
      </c>
      <c r="D49" s="89" t="s">
        <v>168</v>
      </c>
    </row>
    <row r="50" spans="2:4" x14ac:dyDescent="0.25">
      <c r="B50" s="89" t="s">
        <v>169</v>
      </c>
      <c r="C50" s="89" t="s">
        <v>25</v>
      </c>
      <c r="D50" s="89" t="s">
        <v>168</v>
      </c>
    </row>
    <row r="51" spans="2:4" x14ac:dyDescent="0.25">
      <c r="B51" s="147" t="s">
        <v>170</v>
      </c>
      <c r="C51" s="89" t="s">
        <v>25</v>
      </c>
      <c r="D51" s="89" t="s">
        <v>168</v>
      </c>
    </row>
    <row r="52" spans="2:4" x14ac:dyDescent="0.25">
      <c r="B52" s="89" t="s">
        <v>171</v>
      </c>
      <c r="C52" s="89" t="s">
        <v>25</v>
      </c>
      <c r="D52" s="89" t="s">
        <v>168</v>
      </c>
    </row>
    <row r="53" spans="2:4" x14ac:dyDescent="0.25">
      <c r="B53" s="147" t="s">
        <v>172</v>
      </c>
      <c r="C53" s="89" t="s">
        <v>25</v>
      </c>
      <c r="D53" s="89" t="s">
        <v>168</v>
      </c>
    </row>
    <row r="54" spans="2:4" x14ac:dyDescent="0.25">
      <c r="B54" s="147" t="s">
        <v>173</v>
      </c>
      <c r="C54" s="89" t="s">
        <v>25</v>
      </c>
      <c r="D54" s="89" t="s">
        <v>168</v>
      </c>
    </row>
    <row r="55" spans="2:4" x14ac:dyDescent="0.25">
      <c r="B55" s="89" t="s">
        <v>174</v>
      </c>
      <c r="C55" s="89" t="s">
        <v>25</v>
      </c>
      <c r="D55" s="89" t="s">
        <v>168</v>
      </c>
    </row>
    <row r="56" spans="2:4" x14ac:dyDescent="0.25">
      <c r="B56" s="147" t="s">
        <v>175</v>
      </c>
      <c r="C56" s="89" t="s">
        <v>25</v>
      </c>
      <c r="D56" s="89" t="s">
        <v>168</v>
      </c>
    </row>
    <row r="57" spans="2:4" x14ac:dyDescent="0.25">
      <c r="B57" s="147" t="s">
        <v>176</v>
      </c>
      <c r="C57" s="89" t="s">
        <v>25</v>
      </c>
      <c r="D57" s="89" t="s">
        <v>168</v>
      </c>
    </row>
    <row r="58" spans="2:4" x14ac:dyDescent="0.25">
      <c r="B58" s="89" t="s">
        <v>177</v>
      </c>
      <c r="C58" s="89" t="s">
        <v>25</v>
      </c>
      <c r="D58" s="89" t="s">
        <v>168</v>
      </c>
    </row>
    <row r="59" spans="2:4" x14ac:dyDescent="0.25">
      <c r="B59" s="89" t="s">
        <v>178</v>
      </c>
      <c r="C59" s="89" t="s">
        <v>25</v>
      </c>
      <c r="D59" s="89" t="s">
        <v>168</v>
      </c>
    </row>
    <row r="60" spans="2:4" x14ac:dyDescent="0.25">
      <c r="B60" s="147" t="s">
        <v>179</v>
      </c>
      <c r="C60" s="89" t="s">
        <v>25</v>
      </c>
      <c r="D60" s="89" t="s">
        <v>168</v>
      </c>
    </row>
    <row r="61" spans="2:4" x14ac:dyDescent="0.25">
      <c r="B61" s="147" t="s">
        <v>180</v>
      </c>
      <c r="C61" s="89" t="s">
        <v>25</v>
      </c>
      <c r="D61" s="89" t="s">
        <v>168</v>
      </c>
    </row>
    <row r="62" spans="2:4" x14ac:dyDescent="0.25">
      <c r="B62" s="89" t="s">
        <v>181</v>
      </c>
      <c r="C62" s="89" t="s">
        <v>25</v>
      </c>
      <c r="D62" s="89" t="s">
        <v>168</v>
      </c>
    </row>
    <row r="63" spans="2:4" x14ac:dyDescent="0.25">
      <c r="B63" s="147" t="s">
        <v>182</v>
      </c>
      <c r="C63" s="89" t="s">
        <v>25</v>
      </c>
      <c r="D63" s="89" t="s">
        <v>24</v>
      </c>
    </row>
    <row r="64" spans="2:4" x14ac:dyDescent="0.25">
      <c r="B64" s="89" t="s">
        <v>26</v>
      </c>
      <c r="C64" s="89" t="s">
        <v>25</v>
      </c>
      <c r="D64" s="89" t="s">
        <v>24</v>
      </c>
    </row>
    <row r="65" spans="2:4" x14ac:dyDescent="0.25">
      <c r="B65" s="147" t="s">
        <v>19</v>
      </c>
      <c r="C65" s="89" t="s">
        <v>20</v>
      </c>
      <c r="D65" s="89" t="s">
        <v>19</v>
      </c>
    </row>
    <row r="66" spans="2:4" x14ac:dyDescent="0.25">
      <c r="B66" s="89" t="s">
        <v>21</v>
      </c>
      <c r="C66" s="89" t="s">
        <v>20</v>
      </c>
      <c r="D66" s="89" t="s">
        <v>19</v>
      </c>
    </row>
    <row r="67" spans="2:4" x14ac:dyDescent="0.25">
      <c r="B67" s="147" t="s">
        <v>183</v>
      </c>
      <c r="C67" s="89" t="s">
        <v>15</v>
      </c>
      <c r="D67" s="89" t="s">
        <v>184</v>
      </c>
    </row>
    <row r="68" spans="2:4" x14ac:dyDescent="0.25">
      <c r="B68" s="147" t="s">
        <v>185</v>
      </c>
      <c r="C68" s="89" t="s">
        <v>15</v>
      </c>
      <c r="D68" s="89" t="s">
        <v>184</v>
      </c>
    </row>
    <row r="69" spans="2:4" x14ac:dyDescent="0.25">
      <c r="B69" s="89" t="s">
        <v>186</v>
      </c>
      <c r="C69" s="89" t="s">
        <v>15</v>
      </c>
      <c r="D69" s="89" t="s">
        <v>184</v>
      </c>
    </row>
    <row r="70" spans="2:4" x14ac:dyDescent="0.25">
      <c r="B70" s="89" t="s">
        <v>187</v>
      </c>
      <c r="C70" s="89" t="s">
        <v>15</v>
      </c>
      <c r="D70" s="89" t="s">
        <v>184</v>
      </c>
    </row>
    <row r="71" spans="2:4" x14ac:dyDescent="0.25">
      <c r="B71" s="89" t="s">
        <v>188</v>
      </c>
      <c r="C71" s="89" t="s">
        <v>15</v>
      </c>
      <c r="D71" s="89" t="s">
        <v>184</v>
      </c>
    </row>
    <row r="72" spans="2:4" x14ac:dyDescent="0.25">
      <c r="B72" s="89" t="s">
        <v>189</v>
      </c>
      <c r="C72" s="89" t="s">
        <v>15</v>
      </c>
      <c r="D72" s="89" t="s">
        <v>184</v>
      </c>
    </row>
    <row r="73" spans="2:4" x14ac:dyDescent="0.25">
      <c r="B73" s="89" t="s">
        <v>190</v>
      </c>
      <c r="C73" s="89" t="s">
        <v>15</v>
      </c>
      <c r="D73" s="89" t="s">
        <v>184</v>
      </c>
    </row>
    <row r="74" spans="2:4" x14ac:dyDescent="0.25">
      <c r="B74" s="89" t="s">
        <v>191</v>
      </c>
      <c r="C74" s="89" t="s">
        <v>15</v>
      </c>
      <c r="D74" s="89" t="s">
        <v>192</v>
      </c>
    </row>
    <row r="75" spans="2:4" x14ac:dyDescent="0.25">
      <c r="B75" s="89" t="s">
        <v>16</v>
      </c>
      <c r="C75" s="89" t="s">
        <v>15</v>
      </c>
      <c r="D75" s="89" t="s">
        <v>193</v>
      </c>
    </row>
    <row r="76" spans="2:4" x14ac:dyDescent="0.25">
      <c r="B76" s="147" t="s">
        <v>194</v>
      </c>
      <c r="C76" s="89" t="s">
        <v>15</v>
      </c>
      <c r="D76" s="89" t="s">
        <v>193</v>
      </c>
    </row>
    <row r="77" spans="2:4" x14ac:dyDescent="0.25">
      <c r="B77" s="89" t="s">
        <v>195</v>
      </c>
      <c r="C77" s="89" t="s">
        <v>68</v>
      </c>
      <c r="D77" s="89" t="s">
        <v>196</v>
      </c>
    </row>
    <row r="78" spans="2:4" x14ac:dyDescent="0.25">
      <c r="B78" s="89" t="s">
        <v>197</v>
      </c>
      <c r="C78" s="89" t="s">
        <v>68</v>
      </c>
      <c r="D78" s="89" t="s">
        <v>198</v>
      </c>
    </row>
    <row r="79" spans="2:4" x14ac:dyDescent="0.25">
      <c r="B79" s="89" t="s">
        <v>199</v>
      </c>
      <c r="C79" s="89" t="s">
        <v>68</v>
      </c>
      <c r="D79" s="89" t="s">
        <v>200</v>
      </c>
    </row>
    <row r="80" spans="2:4" x14ac:dyDescent="0.25">
      <c r="B80" s="147" t="s">
        <v>201</v>
      </c>
      <c r="C80" s="89" t="s">
        <v>68</v>
      </c>
      <c r="D80" s="89" t="s">
        <v>196</v>
      </c>
    </row>
    <row r="81" spans="2:4" x14ac:dyDescent="0.25">
      <c r="B81" s="147" t="s">
        <v>202</v>
      </c>
      <c r="C81" s="89" t="s">
        <v>68</v>
      </c>
      <c r="D81" s="89" t="s">
        <v>198</v>
      </c>
    </row>
    <row r="82" spans="2:4" x14ac:dyDescent="0.25">
      <c r="B82" s="147" t="s">
        <v>203</v>
      </c>
      <c r="C82" s="89" t="s">
        <v>69</v>
      </c>
      <c r="D82" s="89" t="s">
        <v>204</v>
      </c>
    </row>
    <row r="83" spans="2:4" x14ac:dyDescent="0.25">
      <c r="B83" s="147" t="s">
        <v>205</v>
      </c>
      <c r="C83" s="89" t="s">
        <v>69</v>
      </c>
      <c r="D83" s="89" t="s">
        <v>204</v>
      </c>
    </row>
    <row r="84" spans="2:4" x14ac:dyDescent="0.25">
      <c r="B84" s="147" t="s">
        <v>206</v>
      </c>
      <c r="C84" s="89" t="s">
        <v>69</v>
      </c>
      <c r="D84" s="89" t="s">
        <v>204</v>
      </c>
    </row>
    <row r="85" spans="2:4" x14ac:dyDescent="0.25">
      <c r="B85" s="147" t="s">
        <v>207</v>
      </c>
      <c r="C85" s="89" t="s">
        <v>69</v>
      </c>
      <c r="D85" s="89" t="s">
        <v>204</v>
      </c>
    </row>
    <row r="86" spans="2:4" x14ac:dyDescent="0.25">
      <c r="B86" s="89" t="s">
        <v>208</v>
      </c>
      <c r="C86" s="89" t="s">
        <v>69</v>
      </c>
      <c r="D86" s="89" t="s">
        <v>204</v>
      </c>
    </row>
    <row r="87" spans="2:4" x14ac:dyDescent="0.25">
      <c r="B87" s="89" t="s">
        <v>209</v>
      </c>
      <c r="C87" s="89" t="s">
        <v>69</v>
      </c>
      <c r="D87" s="89" t="s">
        <v>204</v>
      </c>
    </row>
    <row r="88" spans="2:4" x14ac:dyDescent="0.25">
      <c r="B88" s="89" t="s">
        <v>210</v>
      </c>
      <c r="C88" s="89" t="s">
        <v>69</v>
      </c>
      <c r="D88" s="89" t="s">
        <v>204</v>
      </c>
    </row>
    <row r="89" spans="2:4" x14ac:dyDescent="0.25">
      <c r="B89" s="89" t="s">
        <v>211</v>
      </c>
      <c r="C89" s="89" t="s">
        <v>69</v>
      </c>
      <c r="D89" s="89" t="s">
        <v>204</v>
      </c>
    </row>
    <row r="90" spans="2:4" x14ac:dyDescent="0.25">
      <c r="B90" s="89" t="s">
        <v>212</v>
      </c>
      <c r="C90" s="89" t="s">
        <v>69</v>
      </c>
      <c r="D90" s="89" t="s">
        <v>204</v>
      </c>
    </row>
    <row r="91" spans="2:4" x14ac:dyDescent="0.25">
      <c r="B91" s="89" t="s">
        <v>213</v>
      </c>
      <c r="C91" s="89" t="s">
        <v>69</v>
      </c>
      <c r="D91" s="89" t="s">
        <v>204</v>
      </c>
    </row>
    <row r="92" spans="2:4" x14ac:dyDescent="0.25">
      <c r="B92" s="89" t="s">
        <v>214</v>
      </c>
      <c r="C92" s="89" t="s">
        <v>69</v>
      </c>
      <c r="D92" s="89" t="s">
        <v>204</v>
      </c>
    </row>
    <row r="93" spans="2:4" x14ac:dyDescent="0.25">
      <c r="B93" s="89" t="s">
        <v>215</v>
      </c>
      <c r="C93" s="89" t="s">
        <v>69</v>
      </c>
      <c r="D93" s="89" t="s">
        <v>204</v>
      </c>
    </row>
    <row r="94" spans="2:4" x14ac:dyDescent="0.25">
      <c r="B94" s="89" t="s">
        <v>216</v>
      </c>
      <c r="C94" s="89" t="s">
        <v>69</v>
      </c>
      <c r="D94" s="89" t="s">
        <v>204</v>
      </c>
    </row>
    <row r="95" spans="2:4" x14ac:dyDescent="0.25">
      <c r="B95" s="89" t="s">
        <v>217</v>
      </c>
      <c r="C95" s="89" t="s">
        <v>70</v>
      </c>
      <c r="D95" s="89" t="s">
        <v>218</v>
      </c>
    </row>
    <row r="96" spans="2:4" x14ac:dyDescent="0.25">
      <c r="B96" s="89" t="s">
        <v>219</v>
      </c>
      <c r="C96" s="89" t="s">
        <v>67</v>
      </c>
      <c r="D96" s="89" t="s">
        <v>81</v>
      </c>
    </row>
    <row r="97" spans="2:4" x14ac:dyDescent="0.25">
      <c r="B97" s="147" t="s">
        <v>220</v>
      </c>
      <c r="C97" s="89" t="s">
        <v>67</v>
      </c>
      <c r="D97" s="89" t="s">
        <v>81</v>
      </c>
    </row>
    <row r="99" spans="2:4" x14ac:dyDescent="0.25">
      <c r="B99" s="147"/>
    </row>
    <row r="123" spans="2:2" x14ac:dyDescent="0.25">
      <c r="B123" s="147"/>
    </row>
  </sheetData>
  <sheetProtection autoFilter="0"/>
  <protectedRanges>
    <protectedRange algorithmName="SHA-512" hashValue="21f8RCaaX0mBDEbChFx6QK86dW6kaFpj3yRcqfzL28q5YQcq9A07up9HGb4Kv1SYCZTV7q7/Z0FaqJB8JUZGwg==" saltValue="utKn3G5cSCY4gJ7aWeoLAA==" spinCount="100000" sqref="B19" name="admin_1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24" name="admin"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25:B32" name="admin_2"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33:B49" name="admin_3"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50:B59" name="admin_4"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61" name="admin_1_1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62" name="admin_1_1_1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63" name="admin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I1 F1:H2 H3:H26 F3:G12" name="admin_5" securityDescriptor="O:WDG:WDD:(A;;CC;;;S-1-5-21-249263827-1212357926-315576832-1035433)"/>
    <protectedRange algorithmName="SHA-512" hashValue="21f8RCaaX0mBDEbChFx6QK86dW6kaFpj3yRcqfzL28q5YQcq9A07up9HGb4Kv1SYCZTV7q7/Z0FaqJB8JUZGwg==" saltValue="utKn3G5cSCY4gJ7aWeoLAA==" spinCount="100000" sqref="B1" name="admin_6" securityDescriptor="O:WDG:WDD:(A;;CC;;;S-1-5-21-249263827-1212357926-315576832-1035433)"/>
  </protectedRanges>
  <autoFilter ref="B2:D141" xr:uid="{C9DE816D-FD47-4A58-BB5D-51711E054F23}">
    <sortState xmlns:xlrd2="http://schemas.microsoft.com/office/spreadsheetml/2017/richdata2" ref="B19:D64">
      <sortCondition ref="D2:D141"/>
    </sortState>
  </autoFilter>
  <sortState xmlns:xlrd2="http://schemas.microsoft.com/office/spreadsheetml/2017/richdata2" ref="H3:I23">
    <sortCondition ref="I3:I23"/>
  </sortState>
  <mergeCells count="2">
    <mergeCell ref="M46:Q46"/>
    <mergeCell ref="Q43:T43"/>
  </mergeCells>
  <pageMargins left="0.7" right="0.7" top="0.75" bottom="0.75" header="0.3" footer="0.3"/>
  <headerFooter>
    <oddHeader>&amp;L&amp;"Calibri"&amp;10&amp;K0000FF [AMD Official Use Only - AMD Internal Distribution Only]&amp;1#_x000D_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0B6AE-C172-46FF-835B-AC3D91305454}">
  <sheetPr published="0" codeName="Sheet8"/>
  <dimension ref="B2:G11"/>
  <sheetViews>
    <sheetView workbookViewId="0">
      <selection activeCell="E26" sqref="E26"/>
    </sheetView>
  </sheetViews>
  <sheetFormatPr defaultColWidth="8.5703125" defaultRowHeight="15" x14ac:dyDescent="0.25"/>
  <cols>
    <col min="1" max="1" width="9.42578125" bestFit="1" customWidth="1"/>
    <col min="2" max="2" width="38.42578125" bestFit="1" customWidth="1"/>
    <col min="3" max="3" width="10.5703125" style="4" bestFit="1" customWidth="1"/>
    <col min="7" max="7" width="11.42578125" bestFit="1" customWidth="1"/>
  </cols>
  <sheetData>
    <row r="2" spans="2:7" x14ac:dyDescent="0.25">
      <c r="B2" s="75" t="s">
        <v>37</v>
      </c>
      <c r="C2" s="78" t="s">
        <v>221</v>
      </c>
      <c r="D2" s="76" t="s">
        <v>222</v>
      </c>
      <c r="E2" s="76" t="s">
        <v>223</v>
      </c>
      <c r="F2" s="76" t="s">
        <v>224</v>
      </c>
      <c r="G2" s="75" t="s">
        <v>225</v>
      </c>
    </row>
    <row r="3" spans="2:7" x14ac:dyDescent="0.25">
      <c r="B3" s="80" t="s">
        <v>38</v>
      </c>
      <c r="C3" s="79">
        <f t="shared" ref="C3:C10" si="0">((D3/100)+(E3/100)+(F3/100))/3</f>
        <v>1</v>
      </c>
      <c r="D3" s="82">
        <v>100</v>
      </c>
      <c r="E3" s="82">
        <v>100</v>
      </c>
      <c r="F3" s="82">
        <v>100</v>
      </c>
      <c r="G3" s="65"/>
    </row>
    <row r="4" spans="2:7" x14ac:dyDescent="0.25">
      <c r="B4" s="95">
        <v>0.9</v>
      </c>
      <c r="C4" s="79">
        <f t="shared" si="0"/>
        <v>0.9</v>
      </c>
      <c r="D4" s="77">
        <v>90</v>
      </c>
      <c r="E4" s="77">
        <v>90</v>
      </c>
      <c r="F4" s="77">
        <v>90</v>
      </c>
      <c r="G4" s="65"/>
    </row>
    <row r="5" spans="2:7" x14ac:dyDescent="0.25">
      <c r="B5" s="95">
        <v>0.8</v>
      </c>
      <c r="C5" s="79">
        <f t="shared" si="0"/>
        <v>0.80000000000000016</v>
      </c>
      <c r="D5" s="77">
        <v>80</v>
      </c>
      <c r="E5" s="77">
        <v>80</v>
      </c>
      <c r="F5" s="77">
        <v>80</v>
      </c>
      <c r="G5" s="65"/>
    </row>
    <row r="6" spans="2:7" x14ac:dyDescent="0.25">
      <c r="B6" s="95">
        <v>0.7</v>
      </c>
      <c r="C6" s="79">
        <f t="shared" si="0"/>
        <v>0.69999999999999984</v>
      </c>
      <c r="D6" s="77">
        <v>70</v>
      </c>
      <c r="E6" s="77">
        <v>70</v>
      </c>
      <c r="F6" s="77">
        <v>70</v>
      </c>
      <c r="G6" s="65"/>
    </row>
    <row r="7" spans="2:7" x14ac:dyDescent="0.25">
      <c r="B7" s="95">
        <v>0.6</v>
      </c>
      <c r="C7" s="79">
        <f t="shared" si="0"/>
        <v>0.6</v>
      </c>
      <c r="D7" s="77">
        <v>60</v>
      </c>
      <c r="E7" s="77">
        <v>60</v>
      </c>
      <c r="F7" s="77">
        <v>60</v>
      </c>
      <c r="G7" s="65"/>
    </row>
    <row r="8" spans="2:7" x14ac:dyDescent="0.25">
      <c r="B8" s="95">
        <v>0.5</v>
      </c>
      <c r="C8" s="79">
        <f t="shared" si="0"/>
        <v>0.5</v>
      </c>
      <c r="D8" s="77">
        <v>50</v>
      </c>
      <c r="E8" s="77">
        <v>50</v>
      </c>
      <c r="F8" s="77">
        <v>50</v>
      </c>
      <c r="G8" s="65"/>
    </row>
    <row r="9" spans="2:7" x14ac:dyDescent="0.25">
      <c r="B9" s="95">
        <v>0.4</v>
      </c>
      <c r="C9" s="79">
        <f t="shared" si="0"/>
        <v>0.40000000000000008</v>
      </c>
      <c r="D9" s="77">
        <v>40</v>
      </c>
      <c r="E9" s="77">
        <v>40</v>
      </c>
      <c r="F9" s="77">
        <v>40</v>
      </c>
      <c r="G9" s="65"/>
    </row>
    <row r="10" spans="2:7" x14ac:dyDescent="0.25">
      <c r="B10" s="95">
        <v>0.2</v>
      </c>
      <c r="C10" s="79">
        <f t="shared" si="0"/>
        <v>0.20000000000000004</v>
      </c>
      <c r="D10" s="77">
        <v>20</v>
      </c>
      <c r="E10" s="77">
        <v>20</v>
      </c>
      <c r="F10" s="77">
        <v>20</v>
      </c>
      <c r="G10" s="65"/>
    </row>
    <row r="11" spans="2:7" x14ac:dyDescent="0.25">
      <c r="B11" s="64" t="s">
        <v>226</v>
      </c>
      <c r="C11" s="48">
        <v>0</v>
      </c>
      <c r="D11" s="77">
        <v>0</v>
      </c>
      <c r="E11" s="77">
        <v>0</v>
      </c>
      <c r="F11" s="77">
        <v>0</v>
      </c>
      <c r="G11" s="65"/>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inAxisType="group" maxAxisType="group" xr2:uid="{5A6574F0-BC6E-4447-BBF1-FC25D4335E05}">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'Ramp Scenarios'!D3:F3</xm:f>
              <xm:sqref>G3</xm:sqref>
            </x14:sparkline>
            <x14:sparkline>
              <xm:f>'Ramp Scenarios'!D4:F4</xm:f>
              <xm:sqref>G4</xm:sqref>
            </x14:sparkline>
            <x14:sparkline>
              <xm:f>'Ramp Scenarios'!D5:F5</xm:f>
              <xm:sqref>G5</xm:sqref>
            </x14:sparkline>
            <x14:sparkline>
              <xm:f>'Ramp Scenarios'!D6:F6</xm:f>
              <xm:sqref>G6</xm:sqref>
            </x14:sparkline>
            <x14:sparkline>
              <xm:f>'Ramp Scenarios'!D7:F7</xm:f>
              <xm:sqref>G7</xm:sqref>
            </x14:sparkline>
            <x14:sparkline>
              <xm:f>'Ramp Scenarios'!D8:F8</xm:f>
              <xm:sqref>G8</xm:sqref>
            </x14:sparkline>
            <x14:sparkline>
              <xm:f>'Ramp Scenarios'!D9:F9</xm:f>
              <xm:sqref>G9</xm:sqref>
            </x14:sparkline>
            <x14:sparkline>
              <xm:f>'Ramp Scenarios'!D10:F10</xm:f>
              <xm:sqref>G10</xm:sqref>
            </x14:sparkline>
            <x14:sparkline>
              <xm:f>'Ramp Scenarios'!D11:F11</xm:f>
              <xm:sqref>G11</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e2e1ec8f-3490-4338-9b8e-52794d771ed8" xsi:nil="true"/>
    <lcf76f155ced4ddcb4097134ff3c332f xmlns="e2e1ec8f-3490-4338-9b8e-52794d771ed8">
      <Terms xmlns="http://schemas.microsoft.com/office/infopath/2007/PartnerControls"/>
    </lcf76f155ced4ddcb4097134ff3c332f>
    <TaxCatchAll xmlns="e7daa934-9a45-4eb5-a2c4-34719f25aa06" xsi:nil="true"/>
    <SharedWithUsers xmlns="e7daa934-9a45-4eb5-a2c4-34719f25aa06">
      <UserInfo>
        <DisplayName>Vardanyan, Arevik</DisplayName>
        <AccountId>570</AccountId>
        <AccountType/>
      </UserInfo>
      <UserInfo>
        <DisplayName>Li, Tony</DisplayName>
        <AccountId>116</AccountId>
        <AccountType/>
      </UserInfo>
      <UserInfo>
        <DisplayName>Phan, Gia</DisplayName>
        <AccountId>199</AccountId>
        <AccountType/>
      </UserInfo>
      <UserInfo>
        <DisplayName>Fathi, Leila</DisplayName>
        <AccountId>704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131E8778400724B8281303BB641C983" ma:contentTypeVersion="18" ma:contentTypeDescription="Create a new document." ma:contentTypeScope="" ma:versionID="639983125a687d3e3d3955200eb83227">
  <xsd:schema xmlns:xsd="http://www.w3.org/2001/XMLSchema" xmlns:xs="http://www.w3.org/2001/XMLSchema" xmlns:p="http://schemas.microsoft.com/office/2006/metadata/properties" xmlns:ns2="e2e1ec8f-3490-4338-9b8e-52794d771ed8" xmlns:ns3="e7daa934-9a45-4eb5-a2c4-34719f25aa06" targetNamespace="http://schemas.microsoft.com/office/2006/metadata/properties" ma:root="true" ma:fieldsID="4fd985b25e48ca5ccd742379f0874ceb" ns2:_="" ns3:_="">
    <xsd:import namespace="e2e1ec8f-3490-4338-9b8e-52794d771ed8"/>
    <xsd:import namespace="e7daa934-9a45-4eb5-a2c4-34719f25aa0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Comment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e1ec8f-3490-4338-9b8e-52794d771e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Comments" ma:index="13" nillable="true" ma:displayName="Comments" ma:format="Dropdown" ma:internalName="Comments">
      <xsd:simpleType>
        <xsd:restriction base="dms:Text">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4acc8d3-66d8-4f7f-ac2f-7fccaf6b6e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daa934-9a45-4eb5-a2c4-34719f25aa0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cd2df2c-624f-48e1-a8ae-ea71d636917d}" ma:internalName="TaxCatchAll" ma:showField="CatchAllData" ma:web="e7daa934-9a45-4eb5-a2c4-34719f25aa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8A8B7F-2CFB-41D3-ABA6-AFEF128E995C}">
  <ds:schemaRefs>
    <ds:schemaRef ds:uri="http://www.w3.org/XML/1998/namespace"/>
    <ds:schemaRef ds:uri="http://schemas.microsoft.com/office/2006/metadata/properties"/>
    <ds:schemaRef ds:uri="e2e1ec8f-3490-4338-9b8e-52794d771ed8"/>
    <ds:schemaRef ds:uri="http://purl.org/dc/term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e7daa934-9a45-4eb5-a2c4-34719f25aa06"/>
    <ds:schemaRef ds:uri="http://purl.org/dc/dcmitype/"/>
  </ds:schemaRefs>
</ds:datastoreItem>
</file>

<file path=customXml/itemProps2.xml><?xml version="1.0" encoding="utf-8"?>
<ds:datastoreItem xmlns:ds="http://schemas.openxmlformats.org/officeDocument/2006/customXml" ds:itemID="{4873999E-6F53-470D-B5B6-2C7CE2FA91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e1ec8f-3490-4338-9b8e-52794d771ed8"/>
    <ds:schemaRef ds:uri="e7daa934-9a45-4eb5-a2c4-34719f25aa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1D191C-F525-480A-86B8-047076AE027E}">
  <ds:schemaRefs>
    <ds:schemaRef ds:uri="http://schemas.microsoft.com/sharepoint/v3/contenttype/forms"/>
  </ds:schemaRefs>
</ds:datastoreItem>
</file>

<file path=docMetadata/LabelInfo.xml><?xml version="1.0" encoding="utf-8"?>
<clbl:labelList xmlns:clbl="http://schemas.microsoft.com/office/2020/mipLabelMetadata">
  <clbl:label id="{dce362fe-1558-4fb5-9f64-8a6240d76441}" enabled="1" method="Privileged" siteId="{3dd8961f-e488-4e60-8e11-a82d994e18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Capitola v1.0</vt:lpstr>
      <vt:lpstr>Capitola v1.0 r2 (EPD)</vt:lpstr>
      <vt:lpstr>Capitola v1.0 r2 (PAVS)</vt:lpstr>
      <vt:lpstr>Assumptions</vt:lpstr>
      <vt:lpstr>Info</vt:lpstr>
      <vt:lpstr>Pivot</vt:lpstr>
      <vt:lpstr>StatusTracking</vt:lpstr>
      <vt:lpstr>BrowserTab</vt:lpstr>
      <vt:lpstr>Instructions</vt:lpstr>
      <vt:lpstr>LUT</vt:lpstr>
      <vt:lpstr>Ramp Scenarios</vt:lpstr>
      <vt:lpstr>CVP</vt:lpstr>
      <vt:lpstr>HCType</vt:lpstr>
      <vt:lpstr>labour</vt:lpstr>
      <vt:lpstr>Location</vt:lpstr>
      <vt:lpstr>Rodney</vt:lpstr>
      <vt:lpstr>Scenarios</vt:lpstr>
      <vt:lpstr>Status</vt:lpstr>
      <vt:lpstr>statusnote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Arya, Rahul</cp:lastModifiedBy>
  <cp:revision/>
  <dcterms:created xsi:type="dcterms:W3CDTF">2022-03-11T14:40:28Z</dcterms:created>
  <dcterms:modified xsi:type="dcterms:W3CDTF">2026-07-24T14:46:19Z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8914ebd-7e6c-4e12-a031-a9906be2db14_Enabled">
    <vt:lpwstr>true</vt:lpwstr>
  </property>
  <property fmtid="{D5CDD505-2E9C-101B-9397-08002B2CF9AE}" pid="3" name="MSIP_Label_88914ebd-7e6c-4e12-a031-a9906be2db14_SetDate">
    <vt:lpwstr>2022-03-11T19:32:56Z</vt:lpwstr>
  </property>
  <property fmtid="{D5CDD505-2E9C-101B-9397-08002B2CF9AE}" pid="4" name="MSIP_Label_88914ebd-7e6c-4e12-a031-a9906be2db14_Method">
    <vt:lpwstr>Standard</vt:lpwstr>
  </property>
  <property fmtid="{D5CDD505-2E9C-101B-9397-08002B2CF9AE}" pid="5" name="MSIP_Label_88914ebd-7e6c-4e12-a031-a9906be2db14_Name">
    <vt:lpwstr>AMD Official Use Only-AIP 2.0</vt:lpwstr>
  </property>
  <property fmtid="{D5CDD505-2E9C-101B-9397-08002B2CF9AE}" pid="6" name="MSIP_Label_88914ebd-7e6c-4e12-a031-a9906be2db14_SiteId">
    <vt:lpwstr>3dd8961f-e488-4e60-8e11-a82d994e183d</vt:lpwstr>
  </property>
  <property fmtid="{D5CDD505-2E9C-101B-9397-08002B2CF9AE}" pid="7" name="MSIP_Label_88914ebd-7e6c-4e12-a031-a9906be2db14_ActionId">
    <vt:lpwstr>6595827f-628e-45f6-baaf-2117cfa5d368</vt:lpwstr>
  </property>
  <property fmtid="{D5CDD505-2E9C-101B-9397-08002B2CF9AE}" pid="8" name="MSIP_Label_88914ebd-7e6c-4e12-a031-a9906be2db14_ContentBits">
    <vt:lpwstr>1</vt:lpwstr>
  </property>
  <property fmtid="{D5CDD505-2E9C-101B-9397-08002B2CF9AE}" pid="9" name="ContentTypeId">
    <vt:lpwstr>0x0101007131E8778400724B8281303BB641C983</vt:lpwstr>
  </property>
  <property fmtid="{D5CDD505-2E9C-101B-9397-08002B2CF9AE}" pid="10" name="MediaServiceImageTags">
    <vt:lpwstr/>
  </property>
</Properties>
</file>