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namedSheetViews/namedSheetView1.xml" ContentType="application/vnd.ms-excel.namedsheetview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namedSheetViews/namedSheetView2.xml" ContentType="application/vnd.ms-excel.namedsheetview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updateLinks="never" codeName="ThisWorkbook" defaultThemeVersion="166925"/>
  <mc:AlternateContent xmlns:mc="http://schemas.openxmlformats.org/markup-compatibility/2006">
    <mc:Choice Requires="x15">
      <x15ac:absPath xmlns:x15ac="http://schemas.microsoft.com/office/spreadsheetml/2010/11/ac" url="C:\Users\raarya\Desktop\Capitola v1.0\Capitola v1.0 r2\"/>
    </mc:Choice>
  </mc:AlternateContent>
  <xr:revisionPtr revIDLastSave="0" documentId="8_{7898A2E5-40B7-4C85-859C-610572C4A213}" xr6:coauthVersionLast="47" xr6:coauthVersionMax="47" xr10:uidLastSave="{00000000-0000-0000-0000-000000000000}"/>
  <bookViews>
    <workbookView xWindow="12615" yWindow="-16440" windowWidth="29040" windowHeight="15720" tabRatio="822" activeTab="3" xr2:uid="{1DBA5DCC-3A90-480F-9473-355008C10D7D}"/>
  </bookViews>
  <sheets>
    <sheet name="Assumptions (EPD)" sheetId="82" r:id="rId1"/>
    <sheet name="Capitola C40 v1.0 r2 (EPD)" sheetId="81" r:id="rId2"/>
    <sheet name="Assumptions (PAVS)" sheetId="65" r:id="rId3"/>
    <sheet name="Capitola C40 v1.0 r2 (PAVS)" sheetId="80" r:id="rId4"/>
    <sheet name="Capitola C40 v1.0 r1" sheetId="78" r:id="rId5"/>
    <sheet name="Info" sheetId="42" r:id="rId6"/>
    <sheet name="Pivot" sheetId="79" r:id="rId7"/>
    <sheet name="StatusTracking" sheetId="67" r:id="rId8"/>
    <sheet name="BrowserTab" sheetId="28" r:id="rId9"/>
    <sheet name="Instructions" sheetId="56" state="hidden" r:id="rId10"/>
    <sheet name="LUT" sheetId="33" r:id="rId11"/>
    <sheet name="Ramp Scenarios" sheetId="63" state="hidden" r:id="rId12"/>
  </sheets>
  <externalReferences>
    <externalReference r:id="rId13"/>
    <externalReference r:id="rId14"/>
  </externalReferences>
  <definedNames>
    <definedName name="_xlnm._FilterDatabase" localSheetId="0" hidden="1">'Assumptions (EPD)'!$A$2:$D$23</definedName>
    <definedName name="_xlnm._FilterDatabase" localSheetId="2" hidden="1">'Assumptions (PAVS)'!$A$2:$D$22</definedName>
    <definedName name="_xlnm._FilterDatabase" localSheetId="4" hidden="1">'Capitola C40 v1.0 r1'!$A$5:$AO$64</definedName>
    <definedName name="_xlnm._FilterDatabase" localSheetId="1" hidden="1">'Capitola C40 v1.0 r2 (EPD)'!$A$5:$AR$65</definedName>
    <definedName name="_xlnm._FilterDatabase" localSheetId="3" hidden="1">'Capitola C40 v1.0 r2 (PAVS)'!$A$5:$AO$59</definedName>
    <definedName name="_xlnm._FilterDatabase" localSheetId="10" hidden="1">LUT!$B$2:$D$141</definedName>
    <definedName name="AS2DocOpenMode" hidden="1">"AS2DocumentEdit"</definedName>
    <definedName name="AS2HasNoAutoHeaderFooter" hidden="1">" "</definedName>
    <definedName name="Chris">_xlfn.ANCHORARRAY(LUT!$O$3)</definedName>
    <definedName name="ChrisTeam">_xlfn.ANCHORARRAY(LUT!$W$3)</definedName>
    <definedName name="CVP">LUT!$M$3:$M$9</definedName>
    <definedName name="EV__CVPARAMS__" hidden="1">"Nested Row!$B$20:$C$41;"</definedName>
    <definedName name="EV__EVCOM_OPTIONS__" hidden="1">8</definedName>
    <definedName name="EV__EVCOMOPTS__" hidden="1">14</definedName>
    <definedName name="EV__EXPOPTIONS__" hidden="1">0</definedName>
    <definedName name="EV__LASTREFTIME__" hidden="1">39049.4765393519</definedName>
    <definedName name="EV__LASTREFTIME___1" hidden="1">39146.428587963</definedName>
    <definedName name="EV__LOCKEDCVW__CAPITAL" hidden="1">"UNIT,CAPAST,ACTUAL,100712,LC,2003.TOTAL,PERIODIC,"</definedName>
    <definedName name="EV__LOCKEDCVW__CONTRIBUTION" hidden="1">"TOTALREVENUE,XFATTL,YRPLAN,TOTWITHCORPADJ,100780,LC,2006.TOTAL,PERIODIC,"</definedName>
    <definedName name="EV__LOCKEDCVW__ENGINEERING" hidden="1">"ACTUAL,ALLENG,XRICKB,ASALARY,LC,2003.TOTAL,PERIODIC,"</definedName>
    <definedName name="EV__LOCKEDCVW__HCM" hidden="1">"YRPLAN,ALLATI,100805,MSALARY,ATIHEAD,LC,2006.TOTAL,PERIODIC,"</definedName>
    <definedName name="EV__LOCKEDCVW__RATE" hidden="1">"ACTUAL,USD,PLAN,RATEINPUT,2003.TOTAL,PERIODIC,"</definedName>
    <definedName name="EV__LOCKSTATUS__" hidden="1">1</definedName>
    <definedName name="EV__MAXEXPCOLS__" hidden="1">100</definedName>
    <definedName name="EV__MAXEXPROWS__" hidden="1">5000</definedName>
    <definedName name="EV__MEMORYCVW__" hidden="1">1</definedName>
    <definedName name="EV__MEMORYCVW__BOOK1" hidden="1">"[EXPENSE"</definedName>
    <definedName name="EV__MEMORYCVW__BOOK1_COMPANYCODE" hidden="1">"[ALL"</definedName>
    <definedName name="EV__MEMORYCVW__BOOK1_COSTCENTER" hidden="1">"[1AMDE_GPG"</definedName>
    <definedName name="EV__MEMORYCVW__BOOK1_COSTELEMENT" hidden="1">"[1AMD20.2010"</definedName>
    <definedName name="EV__MEMORYCVW__BOOK1_CURRENCY" hidden="1">"[USD"</definedName>
    <definedName name="EV__MEMORYCVW__BOOK1_DATASRC" hidden="1">"[UPLOAD"</definedName>
    <definedName name="EV__MEMORYCVW__BOOK1_FUNCAREA" hidden="1">"[OPEX"</definedName>
    <definedName name="EV__MEMORYCVW__BOOK1_MEASURES" hidden="1">"[PERIODIC"</definedName>
    <definedName name="EV__MEMORYCVW__BOOK1_PROFITCENTER" hidden="1">"[ALL_PF"</definedName>
    <definedName name="EV__MEMORYCVW__BOOK1_TIME" hidden="1">"[2012.Q4"</definedName>
    <definedName name="EV__MEMORYCVW__BOOK1_VERSION" hidden="1">"[V312"</definedName>
    <definedName name="EV__MEMORYCVW__BOOK2" hidden="1">"[EXPENSE"</definedName>
    <definedName name="EV__MEMORYCVW__BOOK2_COMPANYCODE" hidden="1">"[ALL"</definedName>
    <definedName name="EV__MEMORYCVW__BOOK2_COSTCENTER" hidden="1">"[1AMDE_GPG"</definedName>
    <definedName name="EV__MEMORYCVW__BOOK2_COSTELEMENT" hidden="1">"[1AMD20.2010"</definedName>
    <definedName name="EV__MEMORYCVW__BOOK2_CURRENCY" hidden="1">"[USD"</definedName>
    <definedName name="EV__MEMORYCVW__BOOK2_DATASRC" hidden="1">"[UPLOAD"</definedName>
    <definedName name="EV__MEMORYCVW__BOOK2_FUNCAREA" hidden="1">"[OPEX"</definedName>
    <definedName name="EV__MEMORYCVW__BOOK2_MEASURES" hidden="1">"[PERIODIC"</definedName>
    <definedName name="EV__MEMORYCVW__BOOK2_PROFITCENTER" hidden="1">"[ALL_PF"</definedName>
    <definedName name="EV__MEMORYCVW__BOOK2_TIME" hidden="1">"[2012.Q3"</definedName>
    <definedName name="EV__MEMORYCVW__BOOK2_VERSION" hidden="1">"[V212"</definedName>
    <definedName name="EV__MEMORYCVW__BOOK3" hidden="1">"[EXPENSE"</definedName>
    <definedName name="EV__MEMORYCVW__BOOK3_COMPANYCODE" hidden="1">"[ALL"</definedName>
    <definedName name="EV__MEMORYCVW__BOOK3_COSTCENTER" hidden="1">"[1AMDE_GPG"</definedName>
    <definedName name="EV__MEMORYCVW__BOOK3_COSTELEMENT" hidden="1">"[1AMD20.2010"</definedName>
    <definedName name="EV__MEMORYCVW__BOOK3_CURRENCY" hidden="1">"[USD"</definedName>
    <definedName name="EV__MEMORYCVW__BOOK3_DATASRC" hidden="1">"[UPLOAD"</definedName>
    <definedName name="EV__MEMORYCVW__BOOK3_FUNCAREA" hidden="1">"[OPEX"</definedName>
    <definedName name="EV__MEMORYCVW__BOOK3_MEASURES" hidden="1">"[PERIODIC"</definedName>
    <definedName name="EV__MEMORYCVW__BOOK3_PROFITCENTER" hidden="1">"[ALL_PF"</definedName>
    <definedName name="EV__MEMORYCVW__BOOK3_TIME" hidden="1">"[2012.Q4"</definedName>
    <definedName name="EV__MEMORYCVW__BOOK3_VERSION" hidden="1">"[V312"</definedName>
    <definedName name="EV__WBEVMODE__" hidden="1">0</definedName>
    <definedName name="EV__WBREFOPTIONS__" hidden="1">18</definedName>
    <definedName name="EV__WBREFOPTIONS___1" hidden="1">134217728</definedName>
    <definedName name="EV__WBVERSION__" hidden="1">0</definedName>
    <definedName name="EV__WSINFO__" hidden="1">"everest!2#"</definedName>
    <definedName name="HCType">LUT!$G$3:$G$6</definedName>
    <definedName name="Hugo">_xlfn.ANCHORARRAY(LUT!$P$3)</definedName>
    <definedName name="HugoTeam">_xlfn.ANCHORARRAY(LUT!$X$3)</definedName>
    <definedName name="Jeffrey">_xlfn.ANCHORARRAY(LUT!$U$3)</definedName>
    <definedName name="JeffreyTeam">_xlfn.ANCHORARRAY(LUT!$AC$3)</definedName>
    <definedName name="K2_WBEVMODE" hidden="1">0</definedName>
    <definedName name="kkkkkk" hidden="1">39146.428587963</definedName>
    <definedName name="labour">LUT!$H$3:$H$26</definedName>
    <definedName name="ListOffset" hidden="1">1</definedName>
    <definedName name="Location">LUT!$I$3:$I$26</definedName>
    <definedName name="Matthias">_xlfn.ANCHORARRAY(LUT!$Q$3)</definedName>
    <definedName name="MatthiasTeam">_xlfn.ANCHORARRAY(LUT!$Y$3)</definedName>
    <definedName name="Rodney">LUT!$N$3</definedName>
    <definedName name="RodneyTeam">_xlfn.ANCHORARRAY(LUT!$V$3)</definedName>
    <definedName name="SAPBEXhrIndnt" hidden="1">1</definedName>
    <definedName name="SAPBEXrevision" hidden="1">10</definedName>
    <definedName name="SAPBEXsysID" hidden="1">"BWP"</definedName>
    <definedName name="SAPBEXwbID" hidden="1">"5LT9FX7GAT96MZS8OH80TEN6G"</definedName>
    <definedName name="Scenarios">'Ramp Scenarios'!$B$3:$B$11</definedName>
    <definedName name="Status">LUT!$J$3:$J$12</definedName>
    <definedName name="statusnote">LUT!$K$3:$K$12</definedName>
    <definedName name="Stephen">_xlfn.ANCHORARRAY(LUT!$R$3)</definedName>
    <definedName name="StephenTeam">_xlfn.ANCHORARRAY(LUT!$Z$3)</definedName>
    <definedName name="Syed">_xlfn.ANCHORARRAY(LUT!$S$3)</definedName>
    <definedName name="SyedTeam">_xlfn.ANCHORARRAY(LUT!$AA$3)</definedName>
    <definedName name="Terry">_xlfn.ANCHORARRAY(LUT!$T$3)</definedName>
    <definedName name="TerryTeam">_xlfn.ANCHORARRAY(LUT!$AB$3)</definedName>
    <definedName name="Z_5B9870C7_8283_4109_85E3_74627CCC9C91_.wvu.FilterData" localSheetId="0" hidden="1">'Assumptions (EPD)'!#REF!</definedName>
    <definedName name="Z_5B9870C7_8283_4109_85E3_74627CCC9C91_.wvu.FilterData" localSheetId="2" hidden="1">#REF!</definedName>
    <definedName name="Z_5B9870C7_8283_4109_85E3_74627CCC9C91_.wvu.FilterData" hidden="1">#REF!</definedName>
    <definedName name="Z_5bsdfs" localSheetId="0" hidden="1">'Assumptions (EPD)'!#REF!</definedName>
    <definedName name="Z_5bsdfs" localSheetId="2" hidden="1">#REF!</definedName>
    <definedName name="Z_5bsdfs" localSheetId="10" hidden="1">#REF!</definedName>
    <definedName name="Z_5bsdfs" hidden="1">#REF!</definedName>
    <definedName name="Z_694987C1_A483_11D4_A1EF_000102AB6CF6_.wvu.Cols" localSheetId="10" hidden="1">#REF!,#REF!</definedName>
    <definedName name="Z_694987C1_A483_11D4_A1EF_000102AB6CF6_.wvu.Cols" hidden="1">#REF!,#REF!</definedName>
    <definedName name="Z_694987C1_A483_11D4_A1EF_000102AB6CF6_.wvu.PrintArea" localSheetId="10" hidden="1">#REF!</definedName>
    <definedName name="Z_694987C1_A483_11D4_A1EF_000102AB6CF6_.wvu.PrintArea" hidden="1">#REF!</definedName>
    <definedName name="Z_694987C1_A483_11D4_A1EF_000102AB6CF6_.wvu.Rows" localSheetId="10" hidden="1">#REF!,#REF!</definedName>
    <definedName name="Z_694987C1_A483_11D4_A1EF_000102AB6CF6_.wvu.Rows" hidden="1">#REF!,#REF!</definedName>
    <definedName name="Z_7CC739C6_BC45_4674_990D_5122F4E5F9F4_.wvu.Cols" localSheetId="10" hidden="1">#REF!</definedName>
    <definedName name="Z_7CC739C6_BC45_4674_990D_5122F4E5F9F4_.wvu.Cols" hidden="1">#REF!</definedName>
    <definedName name="Z_7CC739C6_BC45_4674_990D_5122F4E5F9F4_.wvu.PrintArea" localSheetId="10" hidden="1">#REF!</definedName>
    <definedName name="Z_7CC739C6_BC45_4674_990D_5122F4E5F9F4_.wvu.PrintArea" hidden="1">#REF!</definedName>
  </definedNames>
  <calcPr calcId="191028"/>
  <pivotCaches>
    <pivotCache cacheId="5"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3" i="80" l="1"/>
  <c r="AK23" i="80"/>
  <c r="AL23" i="80"/>
  <c r="AM23" i="80" s="1"/>
  <c r="AJ22" i="80"/>
  <c r="AK22" i="80"/>
  <c r="AL22" i="80"/>
  <c r="AM22" i="80" s="1"/>
  <c r="AJ21" i="80"/>
  <c r="AK21" i="80"/>
  <c r="AL21" i="80"/>
  <c r="AM21" i="80" s="1"/>
  <c r="AJ20" i="80"/>
  <c r="AK20" i="80"/>
  <c r="AL20" i="80"/>
  <c r="AM20" i="80" s="1"/>
  <c r="AJ19" i="80"/>
  <c r="AK19" i="80"/>
  <c r="AL19" i="80"/>
  <c r="AM19" i="80" s="1"/>
  <c r="AJ23" i="81"/>
  <c r="AK23" i="81"/>
  <c r="AL23" i="81"/>
  <c r="AL22" i="81"/>
  <c r="AK22" i="81"/>
  <c r="AJ22" i="81"/>
  <c r="AJ9" i="81"/>
  <c r="AK9" i="81"/>
  <c r="AL9" i="81"/>
  <c r="AM9" i="81" s="1"/>
  <c r="A23" i="80" a="1"/>
  <c r="A22" i="80" a="1"/>
  <c r="A21" i="80" a="1"/>
  <c r="A20" i="80" a="1"/>
  <c r="A19" i="80" a="1"/>
  <c r="A23" i="80" l="1"/>
  <c r="A22" i="80"/>
  <c r="A21" i="80"/>
  <c r="A20" i="80"/>
  <c r="A19" i="80"/>
  <c r="AM23" i="81"/>
  <c r="AM22" i="81"/>
  <c r="AM74" i="81"/>
  <c r="AI68" i="81" a="1"/>
  <c r="AI68" i="81" s="1"/>
  <c r="AH68" i="81" a="1"/>
  <c r="AH68" i="81" s="1"/>
  <c r="AG68" i="81" a="1"/>
  <c r="AG68" i="81" s="1"/>
  <c r="AG75" i="81" s="1"/>
  <c r="AF68" i="81" a="1"/>
  <c r="AF68" i="81" s="1"/>
  <c r="AE68" i="81" a="1"/>
  <c r="AE68" i="81" s="1"/>
  <c r="AD68" i="81" a="1"/>
  <c r="AD68" i="81" s="1"/>
  <c r="AC68" i="81" a="1"/>
  <c r="AC68" i="81" s="1"/>
  <c r="AC75" i="81" s="1"/>
  <c r="AB68" i="81" a="1"/>
  <c r="AB68" i="81" s="1"/>
  <c r="AA68" i="81" a="1"/>
  <c r="AA68" i="81" s="1"/>
  <c r="Z68" i="81" a="1"/>
  <c r="Z68" i="81" s="1"/>
  <c r="Y68" i="81" a="1"/>
  <c r="Y68" i="81" s="1"/>
  <c r="X68" i="81" a="1"/>
  <c r="X68" i="81" s="1"/>
  <c r="W68" i="81" a="1"/>
  <c r="W68" i="81" s="1"/>
  <c r="V68" i="81" a="1"/>
  <c r="V68" i="81" s="1"/>
  <c r="U68" i="81" a="1"/>
  <c r="U68" i="81" s="1"/>
  <c r="T68" i="81" a="1"/>
  <c r="T68" i="81" s="1"/>
  <c r="S68" i="81" a="1"/>
  <c r="S68" i="81" s="1"/>
  <c r="R68" i="81" a="1"/>
  <c r="R68" i="81" s="1"/>
  <c r="Q68" i="81" a="1"/>
  <c r="Q68" i="81" s="1"/>
  <c r="P68" i="81" a="1"/>
  <c r="P68" i="81" s="1"/>
  <c r="O68" i="81" a="1"/>
  <c r="O68" i="81" s="1"/>
  <c r="N68" i="81" a="1"/>
  <c r="N68" i="81" s="1"/>
  <c r="M68" i="81" a="1"/>
  <c r="M68" i="81" s="1"/>
  <c r="L68" i="81" a="1"/>
  <c r="L68" i="81" s="1"/>
  <c r="K68" i="81" a="1"/>
  <c r="K68" i="81" s="1"/>
  <c r="J68" i="81" a="1"/>
  <c r="J68" i="81" s="1"/>
  <c r="I68" i="81" a="1"/>
  <c r="I68" i="81" s="1"/>
  <c r="H68" i="81" a="1"/>
  <c r="H68" i="81" s="1"/>
  <c r="H73" i="81" s="1"/>
  <c r="AI67" i="81" a="1"/>
  <c r="AI67" i="81" s="1"/>
  <c r="AH67" i="81" a="1"/>
  <c r="AH67" i="81" s="1"/>
  <c r="AG67" i="81" a="1"/>
  <c r="AG67" i="81" s="1"/>
  <c r="AF67" i="81" a="1"/>
  <c r="AF67" i="81" s="1"/>
  <c r="AE67" i="81" a="1"/>
  <c r="AE67" i="81" s="1"/>
  <c r="AD67" i="81" a="1"/>
  <c r="AD67" i="81" s="1"/>
  <c r="AC67" i="81" a="1"/>
  <c r="AC67" i="81" s="1"/>
  <c r="AB67" i="81" a="1"/>
  <c r="AB67" i="81" s="1"/>
  <c r="AA67" i="81" a="1"/>
  <c r="AA67" i="81" s="1"/>
  <c r="Z67" i="81" a="1"/>
  <c r="Z67" i="81" s="1"/>
  <c r="Y67" i="81" a="1"/>
  <c r="Y67" i="81" s="1"/>
  <c r="X67" i="81" a="1"/>
  <c r="X67" i="81" s="1"/>
  <c r="W67" i="81" a="1"/>
  <c r="W67" i="81" s="1"/>
  <c r="V67" i="81" a="1"/>
  <c r="V67" i="81" s="1"/>
  <c r="U67" i="81" a="1"/>
  <c r="U67" i="81" s="1"/>
  <c r="T67" i="81" a="1"/>
  <c r="T67" i="81" s="1"/>
  <c r="S67" i="81" a="1"/>
  <c r="S67" i="81" s="1"/>
  <c r="R67" i="81" a="1"/>
  <c r="R67" i="81" s="1"/>
  <c r="Q67" i="81" a="1"/>
  <c r="Q67" i="81" s="1"/>
  <c r="P67" i="81" a="1"/>
  <c r="P67" i="81" s="1"/>
  <c r="O67" i="81" a="1"/>
  <c r="O67" i="81" s="1"/>
  <c r="N67" i="81" a="1"/>
  <c r="N67" i="81" s="1"/>
  <c r="M67" i="81" a="1"/>
  <c r="M67" i="81" s="1"/>
  <c r="L67" i="81" a="1"/>
  <c r="L67" i="81" s="1"/>
  <c r="K67" i="81" a="1"/>
  <c r="K67" i="81" s="1"/>
  <c r="J67" i="81" a="1"/>
  <c r="J67" i="81" s="1"/>
  <c r="I67" i="81" a="1"/>
  <c r="I67" i="81" s="1"/>
  <c r="H67" i="81" a="1"/>
  <c r="H67" i="81" s="1"/>
  <c r="AL65" i="81"/>
  <c r="AK65" i="81"/>
  <c r="AJ65" i="81"/>
  <c r="AL64" i="81"/>
  <c r="AK64" i="81"/>
  <c r="AJ64" i="81"/>
  <c r="AL63" i="81"/>
  <c r="AK63" i="81"/>
  <c r="AJ63" i="81"/>
  <c r="AL62" i="81"/>
  <c r="AK62" i="81"/>
  <c r="AJ62" i="81"/>
  <c r="AL61" i="81"/>
  <c r="AK61" i="81"/>
  <c r="AJ61" i="81"/>
  <c r="AL60" i="81"/>
  <c r="AK60" i="81"/>
  <c r="AJ60" i="81"/>
  <c r="AL59" i="81"/>
  <c r="AK59" i="81"/>
  <c r="AJ59" i="81"/>
  <c r="AL58" i="81"/>
  <c r="AK58" i="81"/>
  <c r="AJ58" i="81"/>
  <c r="AL57" i="81"/>
  <c r="AK57" i="81"/>
  <c r="AJ57" i="81"/>
  <c r="AL56" i="81"/>
  <c r="AK56" i="81"/>
  <c r="AJ56" i="81"/>
  <c r="AL55" i="81"/>
  <c r="AK55" i="81"/>
  <c r="AJ55" i="81"/>
  <c r="AL54" i="81"/>
  <c r="AK54" i="81"/>
  <c r="AJ54" i="81"/>
  <c r="AL53" i="81"/>
  <c r="AK53" i="81"/>
  <c r="AJ53" i="81"/>
  <c r="AL52" i="81"/>
  <c r="AK52" i="81"/>
  <c r="AJ52" i="81"/>
  <c r="AL51" i="81"/>
  <c r="AK51" i="81"/>
  <c r="AJ51" i="81"/>
  <c r="AL50" i="81"/>
  <c r="AK50" i="81"/>
  <c r="AJ50" i="81"/>
  <c r="AL49" i="81"/>
  <c r="AK49" i="81"/>
  <c r="AJ49" i="81"/>
  <c r="AL48" i="81"/>
  <c r="AK48" i="81"/>
  <c r="AJ48" i="81"/>
  <c r="AL47" i="81"/>
  <c r="AK47" i="81"/>
  <c r="AJ47" i="81"/>
  <c r="AL46" i="81"/>
  <c r="AK46" i="81"/>
  <c r="AJ46" i="81"/>
  <c r="AL45" i="81"/>
  <c r="AK45" i="81"/>
  <c r="AJ45" i="81"/>
  <c r="AL44" i="81"/>
  <c r="AK44" i="81"/>
  <c r="AJ44" i="81"/>
  <c r="AL43" i="81"/>
  <c r="AK43" i="81"/>
  <c r="AJ43" i="81"/>
  <c r="AL42" i="81"/>
  <c r="AK42" i="81"/>
  <c r="AJ42" i="81"/>
  <c r="AL41" i="81"/>
  <c r="AK41" i="81"/>
  <c r="AJ41" i="81"/>
  <c r="AL40" i="81"/>
  <c r="AK40" i="81"/>
  <c r="AJ40" i="81"/>
  <c r="AL39" i="81"/>
  <c r="AK39" i="81"/>
  <c r="AJ39" i="81"/>
  <c r="AL38" i="81"/>
  <c r="AK38" i="81"/>
  <c r="AJ38" i="81"/>
  <c r="AL37" i="81"/>
  <c r="AK37" i="81"/>
  <c r="AJ37" i="81"/>
  <c r="AL26" i="81"/>
  <c r="AK26" i="81"/>
  <c r="AJ26" i="81"/>
  <c r="AL25" i="81"/>
  <c r="AK25" i="81"/>
  <c r="AJ25" i="81"/>
  <c r="AL24" i="81"/>
  <c r="AK24" i="81"/>
  <c r="AJ24" i="81"/>
  <c r="AL21" i="81"/>
  <c r="AK21" i="81"/>
  <c r="AJ21" i="81"/>
  <c r="AL20" i="81"/>
  <c r="AK20" i="81"/>
  <c r="AJ20" i="81"/>
  <c r="AL19" i="81"/>
  <c r="AK19" i="81"/>
  <c r="AJ19" i="81"/>
  <c r="AL18" i="81"/>
  <c r="AK18" i="81"/>
  <c r="AJ18" i="81"/>
  <c r="AL17" i="81"/>
  <c r="AK17" i="81"/>
  <c r="AJ17" i="81"/>
  <c r="AL16" i="81"/>
  <c r="AK16" i="81"/>
  <c r="AJ16" i="81"/>
  <c r="AL14" i="81"/>
  <c r="AK14" i="81"/>
  <c r="AJ14" i="81"/>
  <c r="AL13" i="81"/>
  <c r="AK13" i="81"/>
  <c r="AJ13" i="81"/>
  <c r="AL12" i="81"/>
  <c r="AK12" i="81"/>
  <c r="AJ12" i="81"/>
  <c r="AL11" i="81"/>
  <c r="AK11" i="81"/>
  <c r="AJ11" i="81"/>
  <c r="AL10" i="81"/>
  <c r="AK10" i="81"/>
  <c r="AJ10" i="81"/>
  <c r="AL8" i="81"/>
  <c r="AK8" i="81"/>
  <c r="AJ8" i="81"/>
  <c r="AL7" i="81"/>
  <c r="AK7" i="81"/>
  <c r="AJ7" i="81"/>
  <c r="AL6" i="81"/>
  <c r="AK6" i="81"/>
  <c r="AJ6" i="81"/>
  <c r="AL36" i="81"/>
  <c r="AK36" i="81"/>
  <c r="AJ36" i="81"/>
  <c r="AL35" i="81"/>
  <c r="AK35" i="81"/>
  <c r="AJ35" i="81"/>
  <c r="AL34" i="81"/>
  <c r="AK34" i="81"/>
  <c r="AJ34" i="81"/>
  <c r="AL33" i="81"/>
  <c r="AK33" i="81"/>
  <c r="AJ33" i="81"/>
  <c r="AL32" i="81"/>
  <c r="AK32" i="81"/>
  <c r="AJ32" i="81"/>
  <c r="AL31" i="81"/>
  <c r="AK31" i="81"/>
  <c r="AJ31" i="81"/>
  <c r="AL30" i="81"/>
  <c r="AK30" i="81"/>
  <c r="AJ30" i="81"/>
  <c r="AL29" i="81"/>
  <c r="AK29" i="81"/>
  <c r="AJ29" i="81"/>
  <c r="AL28" i="81"/>
  <c r="AK28" i="81"/>
  <c r="AJ28" i="81"/>
  <c r="AL27" i="81"/>
  <c r="AK27" i="81"/>
  <c r="AJ27" i="81"/>
  <c r="H5" i="81"/>
  <c r="I5" i="81" s="1"/>
  <c r="J5" i="81" s="1"/>
  <c r="K5" i="81" s="1"/>
  <c r="L4" i="81"/>
  <c r="L5" i="81" s="1"/>
  <c r="M5" i="81" s="1"/>
  <c r="N5" i="81" s="1"/>
  <c r="O5" i="81" s="1"/>
  <c r="A2" i="81" a="1"/>
  <c r="A2" i="81" s="1"/>
  <c r="A1" i="81"/>
  <c r="AM68" i="80"/>
  <c r="AI62" i="80" a="1"/>
  <c r="AI62" i="80" s="1"/>
  <c r="AH62" i="80" a="1"/>
  <c r="AH62" i="80" s="1"/>
  <c r="AG62" i="80" a="1"/>
  <c r="AG62" i="80" s="1"/>
  <c r="AF62" i="80" a="1"/>
  <c r="AF62" i="80" s="1"/>
  <c r="AE62" i="80" a="1"/>
  <c r="AE62" i="80" s="1"/>
  <c r="AD62" i="80" a="1"/>
  <c r="AD62" i="80" s="1"/>
  <c r="AC62" i="80" a="1"/>
  <c r="AC62" i="80" s="1"/>
  <c r="AB62" i="80" a="1"/>
  <c r="AB62" i="80" s="1"/>
  <c r="AB69" i="80" s="1"/>
  <c r="AA62" i="80" a="1"/>
  <c r="AA62" i="80" s="1"/>
  <c r="Z62" i="80" a="1"/>
  <c r="Z62" i="80" s="1"/>
  <c r="Y62" i="80" a="1"/>
  <c r="Y62" i="80" s="1"/>
  <c r="X62" i="80" a="1"/>
  <c r="X62" i="80" s="1"/>
  <c r="W62" i="80" a="1"/>
  <c r="W62" i="80" s="1"/>
  <c r="V62" i="80" a="1"/>
  <c r="V62" i="80" s="1"/>
  <c r="U62" i="80" a="1"/>
  <c r="U62" i="80" s="1"/>
  <c r="T62" i="80" a="1"/>
  <c r="T62" i="80" s="1"/>
  <c r="S62" i="80" a="1"/>
  <c r="S62" i="80" s="1"/>
  <c r="R62" i="80" a="1"/>
  <c r="R62" i="80" s="1"/>
  <c r="Q62" i="80" a="1"/>
  <c r="Q62" i="80" s="1"/>
  <c r="P62" i="80" a="1"/>
  <c r="P62" i="80" s="1"/>
  <c r="O62" i="80" a="1"/>
  <c r="O62" i="80" s="1"/>
  <c r="N62" i="80" a="1"/>
  <c r="N62" i="80" s="1"/>
  <c r="M62" i="80" a="1"/>
  <c r="M62" i="80" s="1"/>
  <c r="L62" i="80" a="1"/>
  <c r="L62" i="80" s="1"/>
  <c r="L69" i="80" s="1"/>
  <c r="K62" i="80" a="1"/>
  <c r="K62" i="80" s="1"/>
  <c r="J62" i="80" a="1"/>
  <c r="J62" i="80" s="1"/>
  <c r="I62" i="80" a="1"/>
  <c r="I62" i="80" s="1"/>
  <c r="H62" i="80" a="1"/>
  <c r="H62" i="80" s="1"/>
  <c r="AI61" i="80" a="1"/>
  <c r="AI61" i="80" s="1"/>
  <c r="AH61" i="80" a="1"/>
  <c r="AH61" i="80" s="1"/>
  <c r="AG61" i="80" a="1"/>
  <c r="AG61" i="80" s="1"/>
  <c r="AF61" i="80" a="1"/>
  <c r="AF61" i="80" s="1"/>
  <c r="AE61" i="80" a="1"/>
  <c r="AE61" i="80" s="1"/>
  <c r="AD61" i="80" a="1"/>
  <c r="AD61" i="80" s="1"/>
  <c r="AC61" i="80" a="1"/>
  <c r="AC61" i="80" s="1"/>
  <c r="AB61" i="80" a="1"/>
  <c r="AB61" i="80" s="1"/>
  <c r="AA61" i="80" a="1"/>
  <c r="AA61" i="80" s="1"/>
  <c r="Z61" i="80" a="1"/>
  <c r="Z61" i="80" s="1"/>
  <c r="Y61" i="80" a="1"/>
  <c r="Y61" i="80" s="1"/>
  <c r="X61" i="80" a="1"/>
  <c r="X61" i="80" s="1"/>
  <c r="W61" i="80" a="1"/>
  <c r="W61" i="80" s="1"/>
  <c r="V61" i="80" a="1"/>
  <c r="V61" i="80" s="1"/>
  <c r="U61" i="80" a="1"/>
  <c r="U61" i="80" s="1"/>
  <c r="T61" i="80" a="1"/>
  <c r="T61" i="80" s="1"/>
  <c r="S61" i="80" a="1"/>
  <c r="S61" i="80" s="1"/>
  <c r="R61" i="80" a="1"/>
  <c r="R61" i="80" s="1"/>
  <c r="Q61" i="80" a="1"/>
  <c r="Q61" i="80" s="1"/>
  <c r="P61" i="80" a="1"/>
  <c r="P61" i="80" s="1"/>
  <c r="O61" i="80" a="1"/>
  <c r="O61" i="80" s="1"/>
  <c r="N61" i="80" a="1"/>
  <c r="N61" i="80" s="1"/>
  <c r="M61" i="80" a="1"/>
  <c r="M61" i="80" s="1"/>
  <c r="L61" i="80" a="1"/>
  <c r="L61" i="80" s="1"/>
  <c r="K61" i="80" a="1"/>
  <c r="K61" i="80" s="1"/>
  <c r="J61" i="80" a="1"/>
  <c r="J61" i="80" s="1"/>
  <c r="I61" i="80" a="1"/>
  <c r="I61" i="80" s="1"/>
  <c r="H61" i="80" a="1"/>
  <c r="H61" i="80" s="1"/>
  <c r="AL59" i="80"/>
  <c r="AK59" i="80"/>
  <c r="AJ59" i="80"/>
  <c r="AL58" i="80"/>
  <c r="AK58" i="80"/>
  <c r="AJ58" i="80"/>
  <c r="AL57" i="80"/>
  <c r="AK57" i="80"/>
  <c r="AJ57" i="80"/>
  <c r="AL56" i="80"/>
  <c r="AK56" i="80"/>
  <c r="AJ56" i="80"/>
  <c r="AL55" i="80"/>
  <c r="AK55" i="80"/>
  <c r="AJ55" i="80"/>
  <c r="AL54" i="80"/>
  <c r="AK54" i="80"/>
  <c r="AJ54" i="80"/>
  <c r="AL53" i="80"/>
  <c r="AK53" i="80"/>
  <c r="AJ53" i="80"/>
  <c r="AL52" i="80"/>
  <c r="AK52" i="80"/>
  <c r="AJ52" i="80"/>
  <c r="AL51" i="80"/>
  <c r="AK51" i="80"/>
  <c r="AJ51" i="80"/>
  <c r="AL50" i="80"/>
  <c r="AK50" i="80"/>
  <c r="AJ50" i="80"/>
  <c r="AL49" i="80"/>
  <c r="AK49" i="80"/>
  <c r="AJ49" i="80"/>
  <c r="AL48" i="80"/>
  <c r="AK48" i="80"/>
  <c r="AJ48" i="80"/>
  <c r="AL47" i="80"/>
  <c r="AK47" i="80"/>
  <c r="AJ47" i="80"/>
  <c r="AL46" i="80"/>
  <c r="AK46" i="80"/>
  <c r="AJ46" i="80"/>
  <c r="AL45" i="80"/>
  <c r="AK45" i="80"/>
  <c r="AJ45" i="80"/>
  <c r="AL44" i="80"/>
  <c r="AK44" i="80"/>
  <c r="AJ44" i="80"/>
  <c r="AL43" i="80"/>
  <c r="AK43" i="80"/>
  <c r="AJ43" i="80"/>
  <c r="AL42" i="80"/>
  <c r="AK42" i="80"/>
  <c r="AJ42" i="80"/>
  <c r="AL41" i="80"/>
  <c r="AK41" i="80"/>
  <c r="AJ41" i="80"/>
  <c r="AL40" i="80"/>
  <c r="AK40" i="80"/>
  <c r="AJ40" i="80"/>
  <c r="AL39" i="80"/>
  <c r="AK39" i="80"/>
  <c r="AJ39" i="80"/>
  <c r="AL38" i="80"/>
  <c r="AK38" i="80"/>
  <c r="AJ38" i="80"/>
  <c r="AL37" i="80"/>
  <c r="AK37" i="80"/>
  <c r="AJ37" i="80"/>
  <c r="AL36" i="80"/>
  <c r="AK36" i="80"/>
  <c r="AJ36" i="80"/>
  <c r="AL35" i="80"/>
  <c r="AK35" i="80"/>
  <c r="AJ35" i="80"/>
  <c r="AL34" i="80"/>
  <c r="AK34" i="80"/>
  <c r="AJ34" i="80"/>
  <c r="AL33" i="80"/>
  <c r="AK33" i="80"/>
  <c r="AJ33" i="80"/>
  <c r="AL32" i="80"/>
  <c r="AK32" i="80"/>
  <c r="AJ32" i="80"/>
  <c r="AL31" i="80"/>
  <c r="AK31" i="80"/>
  <c r="AJ31" i="80"/>
  <c r="AL30" i="80"/>
  <c r="AK30" i="80"/>
  <c r="AJ30" i="80"/>
  <c r="AL29" i="80"/>
  <c r="AK29" i="80"/>
  <c r="AJ29" i="80"/>
  <c r="AL28" i="80"/>
  <c r="AK28" i="80"/>
  <c r="AJ28" i="80"/>
  <c r="AL27" i="80"/>
  <c r="AK27" i="80"/>
  <c r="AJ27" i="80"/>
  <c r="AL26" i="80"/>
  <c r="AK26" i="80"/>
  <c r="AJ26" i="80"/>
  <c r="AL25" i="80"/>
  <c r="AK25" i="80"/>
  <c r="AJ25" i="80"/>
  <c r="AL24" i="80"/>
  <c r="AK24" i="80"/>
  <c r="AJ24" i="80"/>
  <c r="AL18" i="80"/>
  <c r="AK18" i="80"/>
  <c r="AJ18" i="80"/>
  <c r="AL17" i="80"/>
  <c r="AK17" i="80"/>
  <c r="AJ17" i="80"/>
  <c r="AL16" i="80"/>
  <c r="AK16" i="80"/>
  <c r="AJ16" i="80"/>
  <c r="AL15" i="80"/>
  <c r="AK15" i="80"/>
  <c r="AJ15" i="80"/>
  <c r="AL14" i="80"/>
  <c r="AK14" i="80"/>
  <c r="AJ14" i="80"/>
  <c r="AL13" i="80"/>
  <c r="AK13" i="80"/>
  <c r="AJ13" i="80"/>
  <c r="AL12" i="80"/>
  <c r="AK12" i="80"/>
  <c r="AJ12" i="80"/>
  <c r="AL11" i="80"/>
  <c r="AK11" i="80"/>
  <c r="AJ11" i="80"/>
  <c r="AL10" i="80"/>
  <c r="AK10" i="80"/>
  <c r="AJ10" i="80"/>
  <c r="AL9" i="80"/>
  <c r="AK9" i="80"/>
  <c r="AJ9" i="80"/>
  <c r="AL8" i="80"/>
  <c r="AK8" i="80"/>
  <c r="AJ8" i="80"/>
  <c r="AL7" i="80"/>
  <c r="AK7" i="80"/>
  <c r="AJ7" i="80"/>
  <c r="AL6" i="80"/>
  <c r="AK6" i="80"/>
  <c r="AJ6" i="80"/>
  <c r="H5" i="80"/>
  <c r="I5" i="80" s="1"/>
  <c r="J5" i="80" s="1"/>
  <c r="K5" i="80" s="1"/>
  <c r="L4" i="80"/>
  <c r="L5" i="80" s="1"/>
  <c r="M5" i="80" s="1"/>
  <c r="N5" i="80" s="1"/>
  <c r="O5" i="80" s="1"/>
  <c r="A2" i="80" a="1"/>
  <c r="A2" i="80" s="1"/>
  <c r="A1" i="80"/>
  <c r="AJ29" i="78"/>
  <c r="AK29" i="78"/>
  <c r="AL29" i="78"/>
  <c r="AJ36" i="78"/>
  <c r="AK36" i="78"/>
  <c r="AL36" i="78"/>
  <c r="A23" i="81" a="1"/>
  <c r="A22" i="81" a="1"/>
  <c r="A23" i="81" l="1"/>
  <c r="A22" i="81"/>
  <c r="AM43" i="81"/>
  <c r="AM30" i="81"/>
  <c r="AM52" i="81"/>
  <c r="AM48" i="81"/>
  <c r="AO48" i="81" s="1"/>
  <c r="AM64" i="81"/>
  <c r="A64" i="81" s="1" a="1"/>
  <c r="A64" i="81" s="1"/>
  <c r="AM14" i="81"/>
  <c r="AM53" i="81"/>
  <c r="AO53" i="81" s="1"/>
  <c r="AM60" i="81"/>
  <c r="AM24" i="81"/>
  <c r="AM50" i="81"/>
  <c r="AO50" i="81" s="1"/>
  <c r="AM65" i="81"/>
  <c r="AO65" i="81" s="1"/>
  <c r="AM31" i="81"/>
  <c r="A31" i="81" s="1" a="1"/>
  <c r="A31" i="81" s="1"/>
  <c r="AM11" i="81"/>
  <c r="AM36" i="81"/>
  <c r="A36" i="81" s="1" a="1"/>
  <c r="AM36" i="78"/>
  <c r="A36" i="78" s="1" a="1"/>
  <c r="A36" i="78" s="1"/>
  <c r="AM20" i="81"/>
  <c r="AM7" i="81"/>
  <c r="P4" i="80"/>
  <c r="AM43" i="80"/>
  <c r="AM59" i="80"/>
  <c r="A59" i="80" s="1" a="1"/>
  <c r="A59" i="80" s="1"/>
  <c r="AK4" i="81"/>
  <c r="AM16" i="80"/>
  <c r="AM29" i="78"/>
  <c r="AJ61" i="80" a="1"/>
  <c r="AJ61" i="80" s="1"/>
  <c r="AM33" i="80"/>
  <c r="AO33" i="80" s="1"/>
  <c r="AM49" i="80"/>
  <c r="A49" i="80" s="1" a="1"/>
  <c r="A49" i="80" s="1"/>
  <c r="AM6" i="81"/>
  <c r="AM16" i="81"/>
  <c r="AM54" i="81"/>
  <c r="AO54" i="81" s="1"/>
  <c r="AM32" i="81"/>
  <c r="A32" i="81" s="1" a="1"/>
  <c r="AM12" i="80"/>
  <c r="AM39" i="80"/>
  <c r="A39" i="80" s="1" a="1"/>
  <c r="A39" i="80" s="1"/>
  <c r="AM55" i="80"/>
  <c r="AO55" i="80" s="1"/>
  <c r="AM34" i="80"/>
  <c r="AO34" i="80" s="1"/>
  <c r="AM50" i="80"/>
  <c r="AO50" i="80" s="1"/>
  <c r="W69" i="81"/>
  <c r="AM29" i="80"/>
  <c r="AM45" i="80"/>
  <c r="AM13" i="80"/>
  <c r="AM24" i="80"/>
  <c r="AM8" i="80"/>
  <c r="AM35" i="80"/>
  <c r="AO35" i="80" s="1"/>
  <c r="AM51" i="80"/>
  <c r="AO51" i="80" s="1"/>
  <c r="J69" i="81"/>
  <c r="AM46" i="81"/>
  <c r="AO46" i="81" s="1"/>
  <c r="AM36" i="80"/>
  <c r="A36" i="80" s="1" a="1"/>
  <c r="A36" i="80" s="1"/>
  <c r="AM52" i="80"/>
  <c r="AO52" i="80" s="1"/>
  <c r="AM26" i="81"/>
  <c r="AM57" i="81"/>
  <c r="AO57" i="81" s="1"/>
  <c r="AM35" i="81"/>
  <c r="AM47" i="81"/>
  <c r="A47" i="81" s="1" a="1"/>
  <c r="A47" i="81" s="1"/>
  <c r="AM38" i="80"/>
  <c r="AO38" i="80" s="1"/>
  <c r="AM54" i="80"/>
  <c r="AM21" i="81"/>
  <c r="AM38" i="81"/>
  <c r="AO38" i="81" s="1"/>
  <c r="AM10" i="81"/>
  <c r="AM49" i="81"/>
  <c r="A49" i="81" s="1" a="1"/>
  <c r="A49" i="81" s="1"/>
  <c r="AM39" i="81"/>
  <c r="AO39" i="81" s="1"/>
  <c r="AM17" i="81"/>
  <c r="AM55" i="81"/>
  <c r="AO55" i="81" s="1"/>
  <c r="AM29" i="81"/>
  <c r="AM33" i="81"/>
  <c r="A33" i="81" s="1" a="1"/>
  <c r="AM45" i="81"/>
  <c r="AO45" i="81" s="1"/>
  <c r="AM40" i="81"/>
  <c r="AO40" i="81" s="1"/>
  <c r="AM61" i="81"/>
  <c r="AO61" i="81" s="1"/>
  <c r="AM18" i="81"/>
  <c r="AM25" i="81"/>
  <c r="AM56" i="81"/>
  <c r="A56" i="81" s="1" a="1"/>
  <c r="A56" i="81" s="1"/>
  <c r="AM30" i="80"/>
  <c r="AM19" i="81"/>
  <c r="AM31" i="80"/>
  <c r="AO31" i="80" s="1"/>
  <c r="AM26" i="80"/>
  <c r="A26" i="80" s="1" a="1"/>
  <c r="AM58" i="80"/>
  <c r="A58" i="80" s="1" a="1"/>
  <c r="A58" i="80" s="1"/>
  <c r="AM42" i="81"/>
  <c r="AO42" i="81" s="1"/>
  <c r="AM63" i="81"/>
  <c r="A63" i="81" s="1" a="1"/>
  <c r="A63" i="81" s="1"/>
  <c r="AM59" i="81"/>
  <c r="AO59" i="81" s="1"/>
  <c r="AM28" i="80"/>
  <c r="A28" i="80" s="1" a="1"/>
  <c r="AM44" i="80"/>
  <c r="AO44" i="80" s="1"/>
  <c r="AM12" i="81"/>
  <c r="AM51" i="81"/>
  <c r="AO51" i="81" s="1"/>
  <c r="AM14" i="80"/>
  <c r="AM25" i="80"/>
  <c r="AM41" i="80"/>
  <c r="AM57" i="80"/>
  <c r="AM41" i="81"/>
  <c r="AO41" i="81" s="1"/>
  <c r="AM62" i="81"/>
  <c r="AO62" i="81" s="1"/>
  <c r="AM9" i="80"/>
  <c r="AM17" i="80"/>
  <c r="AM47" i="80"/>
  <c r="AO47" i="80" s="1"/>
  <c r="AM42" i="80"/>
  <c r="AO42" i="80" s="1"/>
  <c r="AM37" i="80"/>
  <c r="A37" i="80" s="1" a="1"/>
  <c r="A37" i="80" s="1"/>
  <c r="AM53" i="80"/>
  <c r="A53" i="80" s="1" a="1"/>
  <c r="A53" i="80" s="1"/>
  <c r="AJ67" i="81" a="1"/>
  <c r="AJ67" i="81" s="1"/>
  <c r="AM37" i="81"/>
  <c r="A37" i="81" s="1" a="1"/>
  <c r="A37" i="81" s="1"/>
  <c r="AM58" i="81"/>
  <c r="AO58" i="81" s="1"/>
  <c r="AM13" i="81"/>
  <c r="AG70" i="81" a="1"/>
  <c r="AG70" i="81" s="1"/>
  <c r="AL4" i="81"/>
  <c r="AM40" i="80"/>
  <c r="AM44" i="81"/>
  <c r="AO44" i="81" s="1"/>
  <c r="M71" i="81" a="1"/>
  <c r="M71" i="81" s="1"/>
  <c r="M76" i="81" s="1"/>
  <c r="U71" i="81" a="1"/>
  <c r="U71" i="81" s="1"/>
  <c r="U76" i="81" s="1"/>
  <c r="AM34" i="81"/>
  <c r="AM8" i="81"/>
  <c r="AC71" i="81" a="1"/>
  <c r="AC71" i="81" s="1"/>
  <c r="AC76" i="81" s="1"/>
  <c r="AA69" i="81"/>
  <c r="T69" i="81"/>
  <c r="AH69" i="81"/>
  <c r="L69" i="81"/>
  <c r="S69" i="81"/>
  <c r="AI69" i="81"/>
  <c r="P73" i="81"/>
  <c r="O69" i="81"/>
  <c r="V69" i="81"/>
  <c r="K69" i="81"/>
  <c r="P69" i="81"/>
  <c r="Q73" i="81"/>
  <c r="Q75" i="81"/>
  <c r="Y73" i="81"/>
  <c r="I73" i="81"/>
  <c r="AF69" i="81"/>
  <c r="U69" i="81"/>
  <c r="AG69" i="81"/>
  <c r="I69" i="81"/>
  <c r="X69" i="81"/>
  <c r="Y69" i="81"/>
  <c r="Z69" i="81"/>
  <c r="N69" i="81"/>
  <c r="AC69" i="81"/>
  <c r="Q69" i="81"/>
  <c r="AB75" i="81"/>
  <c r="AB73" i="81"/>
  <c r="AO60" i="81"/>
  <c r="A60" i="81" a="1"/>
  <c r="A60" i="81" s="1"/>
  <c r="R73" i="81"/>
  <c r="R75" i="81"/>
  <c r="AD75" i="81"/>
  <c r="AD73" i="81"/>
  <c r="T73" i="81"/>
  <c r="T75" i="81"/>
  <c r="U73" i="81"/>
  <c r="J73" i="81"/>
  <c r="J75" i="81"/>
  <c r="W73" i="81"/>
  <c r="W75" i="81"/>
  <c r="AH73" i="81"/>
  <c r="AH75" i="81"/>
  <c r="H69" i="81"/>
  <c r="AK67" i="81"/>
  <c r="M69" i="81"/>
  <c r="K73" i="81"/>
  <c r="K75" i="81"/>
  <c r="AI73" i="81"/>
  <c r="AI75" i="81"/>
  <c r="S73" i="81"/>
  <c r="S75" i="81"/>
  <c r="AO43" i="81"/>
  <c r="A43" i="81" a="1"/>
  <c r="A43" i="81" s="1"/>
  <c r="AF73" i="81"/>
  <c r="AB69" i="81"/>
  <c r="AE75" i="81"/>
  <c r="AE73" i="81"/>
  <c r="L75" i="81"/>
  <c r="L73" i="81"/>
  <c r="M75" i="81"/>
  <c r="M73" i="81"/>
  <c r="AD69" i="81"/>
  <c r="N75" i="81"/>
  <c r="N73" i="81"/>
  <c r="O75" i="81"/>
  <c r="O73" i="81"/>
  <c r="Z73" i="81"/>
  <c r="Z75" i="81"/>
  <c r="A52" i="81" a="1"/>
  <c r="A52" i="81" s="1"/>
  <c r="AO52" i="81"/>
  <c r="V73" i="81"/>
  <c r="V75" i="81"/>
  <c r="X73" i="81"/>
  <c r="R69" i="81"/>
  <c r="AE69" i="81"/>
  <c r="AA73" i="81"/>
  <c r="AA75" i="81"/>
  <c r="J70" i="81" a="1"/>
  <c r="J70" i="81" s="1"/>
  <c r="R70" i="81" a="1"/>
  <c r="R70" i="81" s="1"/>
  <c r="Z70" i="81" a="1"/>
  <c r="Z70" i="81" s="1"/>
  <c r="AH70" i="81" a="1"/>
  <c r="AH70" i="81" s="1"/>
  <c r="AC73" i="81"/>
  <c r="P75" i="81"/>
  <c r="AF75" i="81"/>
  <c r="K70" i="81" a="1"/>
  <c r="K70" i="81" s="1"/>
  <c r="S70" i="81" a="1"/>
  <c r="S70" i="81" s="1"/>
  <c r="AA70" i="81" a="1"/>
  <c r="AA70" i="81" s="1"/>
  <c r="AI70" i="81" a="1"/>
  <c r="AI70" i="81" s="1"/>
  <c r="P4" i="81"/>
  <c r="AM10" i="80"/>
  <c r="A48" i="81" a="1"/>
  <c r="A48" i="81" s="1"/>
  <c r="O71" i="81" a="1"/>
  <c r="O71" i="81" s="1"/>
  <c r="O76" i="81" s="1"/>
  <c r="W71" i="81" a="1"/>
  <c r="W71" i="81" s="1"/>
  <c r="W76" i="81" s="1"/>
  <c r="AE71" i="81" a="1"/>
  <c r="AE71" i="81" s="1"/>
  <c r="AE76" i="81" s="1"/>
  <c r="L70" i="81" a="1"/>
  <c r="L70" i="81" s="1"/>
  <c r="T70" i="81" a="1"/>
  <c r="T70" i="81" s="1"/>
  <c r="AB70" i="81" a="1"/>
  <c r="AB70" i="81" s="1"/>
  <c r="AG73" i="81"/>
  <c r="AJ4" i="81"/>
  <c r="AM18" i="80"/>
  <c r="AM56" i="80"/>
  <c r="AO56" i="80" s="1"/>
  <c r="AA63" i="80"/>
  <c r="H71" i="81" a="1"/>
  <c r="H71" i="81" s="1"/>
  <c r="P71" i="81" a="1"/>
  <c r="P71" i="81" s="1"/>
  <c r="P76" i="81" s="1"/>
  <c r="X71" i="81" a="1"/>
  <c r="X71" i="81" s="1"/>
  <c r="X76" i="81" s="1"/>
  <c r="AF71" i="81" a="1"/>
  <c r="AF71" i="81" s="1"/>
  <c r="AF76" i="81" s="1"/>
  <c r="U75" i="81"/>
  <c r="AJ68" i="81" a="1"/>
  <c r="AJ68" i="81" s="1"/>
  <c r="M70" i="81" a="1"/>
  <c r="M70" i="81" s="1"/>
  <c r="U70" i="81" a="1"/>
  <c r="U70" i="81" s="1"/>
  <c r="AC70" i="81" a="1"/>
  <c r="AC70" i="81" s="1"/>
  <c r="AM28" i="81"/>
  <c r="I71" i="81" a="1"/>
  <c r="I71" i="81" s="1"/>
  <c r="I76" i="81" s="1"/>
  <c r="Q71" i="81" a="1"/>
  <c r="Q71" i="81" s="1"/>
  <c r="Q76" i="81" s="1"/>
  <c r="Y71" i="81" a="1"/>
  <c r="Y71" i="81" s="1"/>
  <c r="Y76" i="81" s="1"/>
  <c r="AG71" i="81" a="1"/>
  <c r="AG71" i="81" s="1"/>
  <c r="AG76" i="81" s="1"/>
  <c r="AK68" i="81"/>
  <c r="N70" i="81" a="1"/>
  <c r="N70" i="81" s="1"/>
  <c r="V70" i="81" a="1"/>
  <c r="V70" i="81" s="1"/>
  <c r="AD70" i="81" a="1"/>
  <c r="AD70" i="81" s="1"/>
  <c r="H75" i="81"/>
  <c r="X75" i="81"/>
  <c r="AM27" i="81"/>
  <c r="J71" i="81" a="1"/>
  <c r="J71" i="81" s="1"/>
  <c r="J76" i="81" s="1"/>
  <c r="R71" i="81" a="1"/>
  <c r="R71" i="81" s="1"/>
  <c r="R76" i="81" s="1"/>
  <c r="Z71" i="81" a="1"/>
  <c r="Z71" i="81" s="1"/>
  <c r="Z76" i="81" s="1"/>
  <c r="AH71" i="81" a="1"/>
  <c r="AH71" i="81" s="1"/>
  <c r="AH76" i="81" s="1"/>
  <c r="I75" i="81"/>
  <c r="Y75" i="81"/>
  <c r="AD71" i="81" a="1"/>
  <c r="AD71" i="81" s="1"/>
  <c r="AD76" i="81" s="1"/>
  <c r="O70" i="81" a="1"/>
  <c r="O70" i="81" s="1"/>
  <c r="W70" i="81" a="1"/>
  <c r="W70" i="81" s="1"/>
  <c r="AE70" i="81" a="1"/>
  <c r="AE70" i="81" s="1"/>
  <c r="N71" i="81" a="1"/>
  <c r="N71" i="81" s="1"/>
  <c r="N76" i="81" s="1"/>
  <c r="K71" i="81" a="1"/>
  <c r="K71" i="81" s="1"/>
  <c r="K76" i="81" s="1"/>
  <c r="S71" i="81" a="1"/>
  <c r="S71" i="81" s="1"/>
  <c r="S76" i="81" s="1"/>
  <c r="AA71" i="81" a="1"/>
  <c r="AA71" i="81" s="1"/>
  <c r="AA76" i="81" s="1"/>
  <c r="AI71" i="81" a="1"/>
  <c r="AI71" i="81" s="1"/>
  <c r="AI76" i="81" s="1"/>
  <c r="U65" i="80" a="1"/>
  <c r="U65" i="80" s="1"/>
  <c r="U70" i="80" s="1"/>
  <c r="H70" i="81" a="1"/>
  <c r="H70" i="81" s="1"/>
  <c r="P70" i="81" a="1"/>
  <c r="P70" i="81" s="1"/>
  <c r="X70" i="81" a="1"/>
  <c r="X70" i="81" s="1"/>
  <c r="AF70" i="81" a="1"/>
  <c r="AF70" i="81" s="1"/>
  <c r="V71" i="81" a="1"/>
  <c r="V71" i="81" s="1"/>
  <c r="V76" i="81" s="1"/>
  <c r="L71" i="81" a="1"/>
  <c r="L71" i="81" s="1"/>
  <c r="L76" i="81" s="1"/>
  <c r="T71" i="81" a="1"/>
  <c r="T71" i="81" s="1"/>
  <c r="T76" i="81" s="1"/>
  <c r="AB71" i="81" a="1"/>
  <c r="AB71" i="81" s="1"/>
  <c r="AB76" i="81" s="1"/>
  <c r="I70" i="81" a="1"/>
  <c r="I70" i="81" s="1"/>
  <c r="Q70" i="81" a="1"/>
  <c r="Q70" i="81" s="1"/>
  <c r="Y70" i="81" a="1"/>
  <c r="Y70" i="81" s="1"/>
  <c r="AO54" i="80"/>
  <c r="A54" i="80" a="1"/>
  <c r="A54" i="80" s="1"/>
  <c r="AM46" i="80"/>
  <c r="AO46" i="80" s="1"/>
  <c r="AO59" i="80"/>
  <c r="AM11" i="80"/>
  <c r="M65" i="80" a="1"/>
  <c r="M65" i="80" s="1"/>
  <c r="M70" i="80" s="1"/>
  <c r="AC65" i="80" a="1"/>
  <c r="AC65" i="80" s="1"/>
  <c r="AC70" i="80" s="1"/>
  <c r="Z63" i="80"/>
  <c r="AE63" i="80"/>
  <c r="J63" i="80"/>
  <c r="K63" i="80"/>
  <c r="L63" i="80"/>
  <c r="V63" i="80"/>
  <c r="T63" i="80"/>
  <c r="Q63" i="80"/>
  <c r="R63" i="80"/>
  <c r="AH63" i="80"/>
  <c r="M63" i="80"/>
  <c r="AC63" i="80"/>
  <c r="Y63" i="80"/>
  <c r="I63" i="80"/>
  <c r="X63" i="80"/>
  <c r="P63" i="80"/>
  <c r="S63" i="80"/>
  <c r="U63" i="80"/>
  <c r="AD63" i="80"/>
  <c r="AF63" i="80"/>
  <c r="AB63" i="80"/>
  <c r="J67" i="80"/>
  <c r="J69" i="80"/>
  <c r="X67" i="80"/>
  <c r="X69" i="80"/>
  <c r="H63" i="80"/>
  <c r="AK61" i="80"/>
  <c r="W63" i="80"/>
  <c r="I67" i="80"/>
  <c r="I69" i="80"/>
  <c r="A43" i="80" a="1"/>
  <c r="A43" i="80" s="1"/>
  <c r="AO43" i="80"/>
  <c r="K67" i="80"/>
  <c r="K69" i="80"/>
  <c r="Y67" i="80"/>
  <c r="Y69" i="80"/>
  <c r="V67" i="80"/>
  <c r="V69" i="80"/>
  <c r="Z67" i="80"/>
  <c r="Z69" i="80"/>
  <c r="AM48" i="80"/>
  <c r="M69" i="80"/>
  <c r="M67" i="80"/>
  <c r="AA67" i="80"/>
  <c r="AA69" i="80"/>
  <c r="AI67" i="80"/>
  <c r="AI69" i="80"/>
  <c r="H67" i="80"/>
  <c r="H69" i="80"/>
  <c r="AK62" i="80"/>
  <c r="A57" i="80" a="1"/>
  <c r="A57" i="80" s="1"/>
  <c r="AO57" i="80"/>
  <c r="N65" i="80" a="1"/>
  <c r="N65" i="80" s="1"/>
  <c r="N70" i="80" s="1"/>
  <c r="AM7" i="80"/>
  <c r="AL4" i="80"/>
  <c r="Z64" i="80" a="1"/>
  <c r="Z64" i="80" s="1"/>
  <c r="AH64" i="80" a="1"/>
  <c r="AH64" i="80" s="1"/>
  <c r="AD65" i="80" a="1"/>
  <c r="AD65" i="80" s="1"/>
  <c r="AD70" i="80" s="1"/>
  <c r="J64" i="80" a="1"/>
  <c r="J64" i="80" s="1"/>
  <c r="K64" i="80" a="1"/>
  <c r="K64" i="80" s="1"/>
  <c r="R64" i="80" a="1"/>
  <c r="R64" i="80" s="1"/>
  <c r="AI64" i="80" a="1"/>
  <c r="AI64" i="80" s="1"/>
  <c r="AA64" i="80" a="1"/>
  <c r="AA64" i="80" s="1"/>
  <c r="S64" i="80" a="1"/>
  <c r="S64" i="80" s="1"/>
  <c r="V65" i="80" a="1"/>
  <c r="V65" i="80" s="1"/>
  <c r="V70" i="80" s="1"/>
  <c r="W67" i="80"/>
  <c r="W69" i="80"/>
  <c r="O63" i="80"/>
  <c r="AC69" i="80"/>
  <c r="AC67" i="80"/>
  <c r="P69" i="80"/>
  <c r="P67" i="80"/>
  <c r="AD69" i="80"/>
  <c r="AD67" i="80"/>
  <c r="AO40" i="80"/>
  <c r="A40" i="80" a="1"/>
  <c r="A40" i="80" s="1"/>
  <c r="N63" i="80"/>
  <c r="AM27" i="80"/>
  <c r="A27" i="80" s="1" a="1"/>
  <c r="AM32" i="80"/>
  <c r="Q67" i="80"/>
  <c r="Q69" i="80"/>
  <c r="AE69" i="80"/>
  <c r="AE67" i="80"/>
  <c r="P5" i="80"/>
  <c r="Q5" i="80" s="1"/>
  <c r="R5" i="80" s="1"/>
  <c r="S5" i="80" s="1"/>
  <c r="T4" i="80"/>
  <c r="R67" i="80"/>
  <c r="R69" i="80"/>
  <c r="L67" i="80"/>
  <c r="AO45" i="80"/>
  <c r="A45" i="80" a="1"/>
  <c r="A45" i="80" s="1"/>
  <c r="AK4" i="80"/>
  <c r="AM15" i="80"/>
  <c r="AG63" i="80"/>
  <c r="S67" i="80"/>
  <c r="S69" i="80"/>
  <c r="AF69" i="80"/>
  <c r="AF67" i="80"/>
  <c r="AB67" i="80"/>
  <c r="N69" i="80"/>
  <c r="N67" i="80"/>
  <c r="O67" i="80"/>
  <c r="A41" i="80" a="1"/>
  <c r="A41" i="80" s="1"/>
  <c r="AO41" i="80"/>
  <c r="T67" i="80"/>
  <c r="T69" i="80"/>
  <c r="AG69" i="80"/>
  <c r="AG67" i="80"/>
  <c r="AG64" i="80" a="1"/>
  <c r="AG64" i="80" s="1"/>
  <c r="AI63" i="80"/>
  <c r="U67" i="80"/>
  <c r="U69" i="80"/>
  <c r="AH67" i="80"/>
  <c r="AH69" i="80"/>
  <c r="O69" i="80"/>
  <c r="O65" i="80" a="1"/>
  <c r="O65" i="80" s="1"/>
  <c r="O70" i="80" s="1"/>
  <c r="W65" i="80" a="1"/>
  <c r="W65" i="80" s="1"/>
  <c r="W70" i="80" s="1"/>
  <c r="AE65" i="80" a="1"/>
  <c r="AE65" i="80" s="1"/>
  <c r="AE70" i="80" s="1"/>
  <c r="L64" i="80" a="1"/>
  <c r="L64" i="80" s="1"/>
  <c r="T64" i="80" a="1"/>
  <c r="T64" i="80" s="1"/>
  <c r="AB64" i="80" a="1"/>
  <c r="AB64" i="80" s="1"/>
  <c r="H65" i="80" a="1"/>
  <c r="H65" i="80" s="1"/>
  <c r="P65" i="80" a="1"/>
  <c r="P65" i="80" s="1"/>
  <c r="P70" i="80" s="1"/>
  <c r="X65" i="80" a="1"/>
  <c r="X65" i="80" s="1"/>
  <c r="X70" i="80" s="1"/>
  <c r="AF65" i="80" a="1"/>
  <c r="AF65" i="80" s="1"/>
  <c r="AF70" i="80" s="1"/>
  <c r="AJ4" i="80"/>
  <c r="AJ62" i="80" a="1"/>
  <c r="AJ62" i="80" s="1"/>
  <c r="M64" i="80" a="1"/>
  <c r="M64" i="80" s="1"/>
  <c r="U64" i="80" a="1"/>
  <c r="U64" i="80" s="1"/>
  <c r="AC64" i="80" a="1"/>
  <c r="AC64" i="80" s="1"/>
  <c r="I65" i="80" a="1"/>
  <c r="I65" i="80" s="1"/>
  <c r="I70" i="80" s="1"/>
  <c r="Q65" i="80" a="1"/>
  <c r="Q65" i="80" s="1"/>
  <c r="Q70" i="80" s="1"/>
  <c r="Y65" i="80" a="1"/>
  <c r="Y65" i="80" s="1"/>
  <c r="Y70" i="80" s="1"/>
  <c r="AG65" i="80" a="1"/>
  <c r="AG65" i="80" s="1"/>
  <c r="AG70" i="80" s="1"/>
  <c r="V64" i="80" a="1"/>
  <c r="V64" i="80" s="1"/>
  <c r="AD64" i="80" a="1"/>
  <c r="AD64" i="80" s="1"/>
  <c r="N64" i="80" a="1"/>
  <c r="N64" i="80" s="1"/>
  <c r="AM6" i="80"/>
  <c r="J65" i="80" a="1"/>
  <c r="J65" i="80" s="1"/>
  <c r="J70" i="80" s="1"/>
  <c r="R65" i="80" a="1"/>
  <c r="R65" i="80" s="1"/>
  <c r="R70" i="80" s="1"/>
  <c r="Z65" i="80" a="1"/>
  <c r="Z65" i="80" s="1"/>
  <c r="Z70" i="80" s="1"/>
  <c r="AH65" i="80" a="1"/>
  <c r="AH65" i="80" s="1"/>
  <c r="AH70" i="80" s="1"/>
  <c r="O64" i="80" a="1"/>
  <c r="O64" i="80" s="1"/>
  <c r="W64" i="80" a="1"/>
  <c r="W64" i="80" s="1"/>
  <c r="AE64" i="80" a="1"/>
  <c r="AE64" i="80" s="1"/>
  <c r="K65" i="80" a="1"/>
  <c r="K65" i="80" s="1"/>
  <c r="K70" i="80" s="1"/>
  <c r="S65" i="80" a="1"/>
  <c r="S65" i="80" s="1"/>
  <c r="S70" i="80" s="1"/>
  <c r="AA65" i="80" a="1"/>
  <c r="AA65" i="80" s="1"/>
  <c r="AA70" i="80" s="1"/>
  <c r="AI65" i="80" a="1"/>
  <c r="AI65" i="80" s="1"/>
  <c r="AI70" i="80" s="1"/>
  <c r="H64" i="80" a="1"/>
  <c r="H64" i="80" s="1"/>
  <c r="P64" i="80" a="1"/>
  <c r="P64" i="80" s="1"/>
  <c r="X64" i="80" a="1"/>
  <c r="X64" i="80" s="1"/>
  <c r="AF64" i="80" a="1"/>
  <c r="AF64" i="80" s="1"/>
  <c r="L65" i="80" a="1"/>
  <c r="L65" i="80" s="1"/>
  <c r="L70" i="80" s="1"/>
  <c r="T65" i="80" a="1"/>
  <c r="T65" i="80" s="1"/>
  <c r="T70" i="80" s="1"/>
  <c r="AB65" i="80" a="1"/>
  <c r="AB65" i="80" s="1"/>
  <c r="AB70" i="80" s="1"/>
  <c r="I64" i="80" a="1"/>
  <c r="I64" i="80" s="1"/>
  <c r="Q64" i="80" a="1"/>
  <c r="Q64" i="80" s="1"/>
  <c r="Y64" i="80" a="1"/>
  <c r="Y64" i="80" s="1"/>
  <c r="A29" i="80" a="1"/>
  <c r="A30" i="80" a="1"/>
  <c r="A34" i="81" a="1"/>
  <c r="A35" i="81" a="1"/>
  <c r="A25" i="80" a="1"/>
  <c r="A20" i="81" a="1"/>
  <c r="A29" i="81" a="1"/>
  <c r="A33" i="80" l="1" a="1"/>
  <c r="A33" i="80" s="1"/>
  <c r="A31" i="80" a="1"/>
  <c r="A31" i="80" s="1"/>
  <c r="A38" i="80" a="1"/>
  <c r="A38" i="80" s="1"/>
  <c r="A38" i="81" a="1"/>
  <c r="A38" i="81" s="1"/>
  <c r="A53" i="81" a="1"/>
  <c r="A53" i="81" s="1"/>
  <c r="AO49" i="81"/>
  <c r="A50" i="81" a="1"/>
  <c r="A50" i="81" s="1"/>
  <c r="AO36" i="78"/>
  <c r="A65" i="81" a="1"/>
  <c r="A65" i="81" s="1"/>
  <c r="A42" i="81" a="1"/>
  <c r="A42" i="81" s="1"/>
  <c r="A58" i="81" a="1"/>
  <c r="A58" i="81" s="1"/>
  <c r="A54" i="81" a="1"/>
  <c r="A54" i="81" s="1"/>
  <c r="A61" i="81" a="1"/>
  <c r="A61" i="81" s="1"/>
  <c r="A51" i="81" a="1"/>
  <c r="A51" i="81" s="1"/>
  <c r="A40" i="81" a="1"/>
  <c r="A40" i="81" s="1"/>
  <c r="AO56" i="81"/>
  <c r="A44" i="81" a="1"/>
  <c r="A44" i="81" s="1"/>
  <c r="A62" i="81" a="1"/>
  <c r="A62" i="81" s="1"/>
  <c r="AO47" i="81"/>
  <c r="A57" i="81" a="1"/>
  <c r="A57" i="81" s="1"/>
  <c r="A20" i="81"/>
  <c r="A56" i="80" a="1"/>
  <c r="A56" i="80" s="1"/>
  <c r="A39" i="81" a="1"/>
  <c r="A39" i="81" s="1"/>
  <c r="AJ63" i="80"/>
  <c r="AO49" i="80"/>
  <c r="A52" i="80" a="1"/>
  <c r="A52" i="80" s="1"/>
  <c r="A42" i="80" a="1"/>
  <c r="A42" i="80" s="1"/>
  <c r="AG77" i="81"/>
  <c r="A35" i="80" a="1"/>
  <c r="A35" i="80" s="1"/>
  <c r="AO39" i="80"/>
  <c r="AO53" i="80"/>
  <c r="A51" i="80" a="1"/>
  <c r="A51" i="80" s="1"/>
  <c r="A47" i="80" a="1"/>
  <c r="A47" i="80" s="1"/>
  <c r="U72" i="81"/>
  <c r="J77" i="81"/>
  <c r="Q72" i="81"/>
  <c r="A28" i="80"/>
  <c r="A26" i="80"/>
  <c r="A32" i="81"/>
  <c r="A30" i="80"/>
  <c r="AO24" i="80"/>
  <c r="A29" i="80"/>
  <c r="AO29" i="80" s="1"/>
  <c r="A33" i="81"/>
  <c r="A44" i="80" a="1"/>
  <c r="A44" i="80" s="1"/>
  <c r="AO37" i="81"/>
  <c r="A46" i="81" a="1"/>
  <c r="A46" i="81" s="1"/>
  <c r="A50" i="80" a="1"/>
  <c r="A50" i="80" s="1"/>
  <c r="A59" i="81" a="1"/>
  <c r="A59" i="81" s="1"/>
  <c r="A55" i="81" a="1"/>
  <c r="A55" i="81" s="1"/>
  <c r="A55" i="80" a="1"/>
  <c r="A55" i="80" s="1"/>
  <c r="A34" i="80" a="1"/>
  <c r="A34" i="80" s="1"/>
  <c r="AO36" i="80"/>
  <c r="A41" i="81" a="1"/>
  <c r="A41" i="81" s="1"/>
  <c r="AO37" i="80"/>
  <c r="AC72" i="81"/>
  <c r="A45" i="81" a="1"/>
  <c r="A45" i="81" s="1"/>
  <c r="AO63" i="81"/>
  <c r="M72" i="81"/>
  <c r="AJ69" i="81"/>
  <c r="A34" i="81"/>
  <c r="X72" i="81"/>
  <c r="AI77" i="81"/>
  <c r="AA77" i="81"/>
  <c r="AH77" i="81"/>
  <c r="S77" i="81"/>
  <c r="M66" i="80"/>
  <c r="K77" i="81"/>
  <c r="O77" i="81"/>
  <c r="AF77" i="81"/>
  <c r="N77" i="81"/>
  <c r="P72" i="81"/>
  <c r="T72" i="81"/>
  <c r="AD77" i="81"/>
  <c r="S71" i="80"/>
  <c r="AE77" i="81"/>
  <c r="W77" i="81"/>
  <c r="V72" i="81"/>
  <c r="L77" i="81"/>
  <c r="Y77" i="81"/>
  <c r="M77" i="81"/>
  <c r="Z77" i="81"/>
  <c r="I77" i="81"/>
  <c r="R77" i="81"/>
  <c r="AB72" i="81"/>
  <c r="A36" i="81"/>
  <c r="AO36" i="81" s="1"/>
  <c r="A29" i="81"/>
  <c r="AO29" i="81" s="1"/>
  <c r="A35" i="81"/>
  <c r="AO35" i="81" s="1"/>
  <c r="H72" i="81"/>
  <c r="AM70" i="81"/>
  <c r="Q77" i="81"/>
  <c r="AH72" i="81"/>
  <c r="L72" i="81"/>
  <c r="R72" i="81"/>
  <c r="U77" i="81"/>
  <c r="Y72" i="81"/>
  <c r="I72" i="81"/>
  <c r="AE72" i="81"/>
  <c r="AC77" i="81"/>
  <c r="AB77" i="81"/>
  <c r="W72" i="81"/>
  <c r="AM75" i="81"/>
  <c r="X77" i="81"/>
  <c r="AG72" i="81"/>
  <c r="T77" i="81"/>
  <c r="O72" i="81"/>
  <c r="AD72" i="81"/>
  <c r="P77" i="81"/>
  <c r="T4" i="81"/>
  <c r="P5" i="81"/>
  <c r="Q5" i="81" s="1"/>
  <c r="R5" i="81" s="1"/>
  <c r="S5" i="81" s="1"/>
  <c r="AK69" i="81"/>
  <c r="J72" i="81"/>
  <c r="AM71" i="81"/>
  <c r="H76" i="81"/>
  <c r="AI72" i="81"/>
  <c r="A46" i="80" a="1"/>
  <c r="A46" i="80" s="1"/>
  <c r="V77" i="81"/>
  <c r="N72" i="81"/>
  <c r="AA72" i="81"/>
  <c r="AM67" i="81" a="1"/>
  <c r="AM67" i="81" s="1"/>
  <c r="AM68" i="81" a="1"/>
  <c r="AM68" i="81" s="1"/>
  <c r="AL68" i="81" s="1"/>
  <c r="AM4" i="81"/>
  <c r="AC66" i="80"/>
  <c r="AF72" i="81"/>
  <c r="S72" i="81"/>
  <c r="Z72" i="81"/>
  <c r="U66" i="80"/>
  <c r="K72" i="81"/>
  <c r="O66" i="80"/>
  <c r="Z71" i="80"/>
  <c r="T71" i="80"/>
  <c r="L71" i="80"/>
  <c r="X66" i="80"/>
  <c r="AF66" i="80"/>
  <c r="AE66" i="80"/>
  <c r="AB71" i="80"/>
  <c r="AG71" i="80"/>
  <c r="AI71" i="80"/>
  <c r="P66" i="80"/>
  <c r="Q71" i="80"/>
  <c r="AA71" i="80"/>
  <c r="I71" i="80"/>
  <c r="AK63" i="80"/>
  <c r="W66" i="80"/>
  <c r="R66" i="80"/>
  <c r="K66" i="80"/>
  <c r="J66" i="80"/>
  <c r="AD71" i="80"/>
  <c r="AH66" i="80"/>
  <c r="Y66" i="80"/>
  <c r="V66" i="80"/>
  <c r="M71" i="80"/>
  <c r="N71" i="80"/>
  <c r="A27" i="80"/>
  <c r="A25" i="80"/>
  <c r="AO25" i="80" s="1"/>
  <c r="X4" i="80"/>
  <c r="T5" i="80"/>
  <c r="U5" i="80" s="1"/>
  <c r="V5" i="80" s="1"/>
  <c r="W5" i="80" s="1"/>
  <c r="AH71" i="80"/>
  <c r="Z66" i="80"/>
  <c r="A48" i="80" a="1"/>
  <c r="A48" i="80" s="1"/>
  <c r="AO48" i="80"/>
  <c r="Q66" i="80"/>
  <c r="I66" i="80"/>
  <c r="AF71" i="80"/>
  <c r="R71" i="80"/>
  <c r="X71" i="80"/>
  <c r="A32" i="80" a="1"/>
  <c r="A32" i="80" s="1"/>
  <c r="AO32" i="80"/>
  <c r="P71" i="80"/>
  <c r="AM61" i="80" a="1"/>
  <c r="AM61" i="80" s="1"/>
  <c r="AM62" i="80" a="1"/>
  <c r="AM62" i="80" s="1"/>
  <c r="AL62" i="80" s="1"/>
  <c r="AM4" i="80"/>
  <c r="AM65" i="80"/>
  <c r="H70" i="80"/>
  <c r="U71" i="80"/>
  <c r="K71" i="80"/>
  <c r="J71" i="80"/>
  <c r="N66" i="80"/>
  <c r="AB66" i="80"/>
  <c r="AD66" i="80"/>
  <c r="T66" i="80"/>
  <c r="L66" i="80"/>
  <c r="V71" i="80"/>
  <c r="AE71" i="80"/>
  <c r="AG66" i="80"/>
  <c r="S66" i="80"/>
  <c r="AM69" i="80"/>
  <c r="AC71" i="80"/>
  <c r="H66" i="80"/>
  <c r="AM64" i="80"/>
  <c r="Y71" i="80"/>
  <c r="W71" i="80"/>
  <c r="AA66" i="80"/>
  <c r="O71" i="80"/>
  <c r="AI66" i="80"/>
  <c r="AJ23" i="78"/>
  <c r="AK23" i="78"/>
  <c r="AL23" i="78"/>
  <c r="AJ24" i="78"/>
  <c r="AK24" i="78"/>
  <c r="AL24" i="78"/>
  <c r="AJ25" i="78"/>
  <c r="AK25" i="78"/>
  <c r="AL25" i="78"/>
  <c r="AJ20" i="78"/>
  <c r="AK20" i="78"/>
  <c r="AL20" i="78"/>
  <c r="AJ21" i="78"/>
  <c r="AK21" i="78"/>
  <c r="AL21" i="78"/>
  <c r="AJ6" i="78"/>
  <c r="AK6" i="78"/>
  <c r="AL6" i="78"/>
  <c r="AJ7" i="78"/>
  <c r="AK7" i="78"/>
  <c r="AL7" i="78"/>
  <c r="A28" i="81" a="1"/>
  <c r="A27" i="81" a="1"/>
  <c r="AM21" i="78" l="1"/>
  <c r="AM23" i="78"/>
  <c r="AM72" i="81"/>
  <c r="A27" i="81"/>
  <c r="AO27" i="81" s="1"/>
  <c r="A28" i="81"/>
  <c r="AO28" i="81" s="1"/>
  <c r="AM69" i="81"/>
  <c r="AL69" i="81" s="1"/>
  <c r="AL67" i="81"/>
  <c r="X4" i="81"/>
  <c r="T5" i="81"/>
  <c r="U5" i="81" s="1"/>
  <c r="V5" i="81" s="1"/>
  <c r="W5" i="81" s="1"/>
  <c r="AM76" i="81"/>
  <c r="H77" i="81"/>
  <c r="AM77" i="81" s="1"/>
  <c r="AM63" i="80"/>
  <c r="AL63" i="80" s="1"/>
  <c r="AL61" i="80"/>
  <c r="X5" i="80"/>
  <c r="Y5" i="80" s="1"/>
  <c r="Z5" i="80" s="1"/>
  <c r="AA5" i="80" s="1"/>
  <c r="AB4" i="80"/>
  <c r="AM70" i="80"/>
  <c r="H71" i="80"/>
  <c r="AM71" i="80" s="1"/>
  <c r="AM66" i="80"/>
  <c r="AM24" i="78"/>
  <c r="AM7" i="78"/>
  <c r="AM25" i="78"/>
  <c r="AM20" i="78"/>
  <c r="AM6" i="78"/>
  <c r="X5" i="81" l="1"/>
  <c r="Y5" i="81" s="1"/>
  <c r="Z5" i="81" s="1"/>
  <c r="AA5" i="81" s="1"/>
  <c r="AB4" i="81"/>
  <c r="AB5" i="80"/>
  <c r="AC5" i="80" s="1"/>
  <c r="AD5" i="80" s="1"/>
  <c r="AE5" i="80" s="1"/>
  <c r="AF4" i="80"/>
  <c r="AF5" i="80" s="1"/>
  <c r="AG5" i="80" s="1"/>
  <c r="AH5" i="80" s="1"/>
  <c r="AI5" i="80" s="1"/>
  <c r="AJ10" i="78"/>
  <c r="AK10" i="78"/>
  <c r="AL10" i="78"/>
  <c r="AM10" i="78" s="1"/>
  <c r="AJ11" i="78"/>
  <c r="AK11" i="78"/>
  <c r="AL11" i="78"/>
  <c r="AM11" i="78" s="1"/>
  <c r="AJ12" i="78"/>
  <c r="AK12" i="78"/>
  <c r="AL12" i="78"/>
  <c r="AJ13" i="78"/>
  <c r="AK13" i="78"/>
  <c r="AL13" i="78"/>
  <c r="AJ14" i="78"/>
  <c r="AK14" i="78"/>
  <c r="AL14" i="78"/>
  <c r="AJ15" i="78"/>
  <c r="AK15" i="78"/>
  <c r="AL15" i="78"/>
  <c r="AJ9" i="78"/>
  <c r="AK9" i="78"/>
  <c r="AL9" i="78"/>
  <c r="AL35" i="78"/>
  <c r="AL32" i="78"/>
  <c r="AK35" i="78"/>
  <c r="AK32" i="78"/>
  <c r="AJ35" i="78"/>
  <c r="AJ32" i="78"/>
  <c r="AB5" i="81" l="1"/>
  <c r="AC5" i="81" s="1"/>
  <c r="AD5" i="81" s="1"/>
  <c r="AE5" i="81" s="1"/>
  <c r="AF4" i="81"/>
  <c r="AF5" i="81" s="1"/>
  <c r="AG5" i="81" s="1"/>
  <c r="AH5" i="81" s="1"/>
  <c r="AI5" i="81" s="1"/>
  <c r="AM14" i="78"/>
  <c r="AM35" i="78"/>
  <c r="AM15" i="78"/>
  <c r="AM12" i="78"/>
  <c r="AM13" i="78"/>
  <c r="AM9" i="78"/>
  <c r="AM32" i="78"/>
  <c r="AJ19" i="78" l="1"/>
  <c r="AK19" i="78"/>
  <c r="AL19" i="78"/>
  <c r="AJ33" i="78"/>
  <c r="AK33" i="78"/>
  <c r="AL33" i="78"/>
  <c r="AJ31" i="78"/>
  <c r="AK31" i="78"/>
  <c r="AL31" i="78"/>
  <c r="AJ34" i="78"/>
  <c r="AK34" i="78"/>
  <c r="AL34" i="78"/>
  <c r="O3" i="33" a="1"/>
  <c r="AJ28" i="78"/>
  <c r="AK28" i="78"/>
  <c r="AL28" i="78"/>
  <c r="AJ27" i="78"/>
  <c r="AK27" i="78"/>
  <c r="AL27" i="78"/>
  <c r="AJ17" i="78"/>
  <c r="AK17" i="78"/>
  <c r="AL17" i="78"/>
  <c r="AJ26" i="78"/>
  <c r="AK26" i="78"/>
  <c r="AL26" i="78"/>
  <c r="AJ30" i="78"/>
  <c r="AK30" i="78"/>
  <c r="AL30" i="78"/>
  <c r="AJ18" i="78"/>
  <c r="AK18" i="78"/>
  <c r="AL18" i="78"/>
  <c r="AM73" i="78"/>
  <c r="A2" i="78" a="1"/>
  <c r="A2" i="78" s="1"/>
  <c r="AM34" i="78" l="1"/>
  <c r="AM33" i="78"/>
  <c r="AM19" i="78"/>
  <c r="AM30" i="78"/>
  <c r="AM28" i="78"/>
  <c r="AM18" i="78"/>
  <c r="AM31" i="78"/>
  <c r="AM26" i="78"/>
  <c r="O3" i="33"/>
  <c r="AM27" i="78"/>
  <c r="AM17" i="78"/>
  <c r="Q3" i="33" a="1"/>
  <c r="A26" i="78" a="1"/>
  <c r="A11" i="81" a="1"/>
  <c r="A25" i="78" a="1"/>
  <c r="A8" i="80" a="1"/>
  <c r="A13" i="81" a="1"/>
  <c r="A9" i="81" a="1"/>
  <c r="A17" i="80" a="1"/>
  <c r="A18" i="80" a="1"/>
  <c r="A13" i="80" a="1"/>
  <c r="A9" i="80" a="1"/>
  <c r="A11" i="80" a="1"/>
  <c r="A11" i="78" a="1"/>
  <c r="A13" i="78" a="1"/>
  <c r="A31" i="78" a="1"/>
  <c r="A9" i="78" a="1"/>
  <c r="A6" i="80" a="1"/>
  <c r="A12" i="80" a="1"/>
  <c r="A6" i="81" a="1"/>
  <c r="A27" i="78" a="1"/>
  <c r="A7" i="78" a="1"/>
  <c r="A12" i="78" a="1"/>
  <c r="A14" i="81" a="1"/>
  <c r="A10" i="78" a="1"/>
  <c r="A23" i="78" a="1"/>
  <c r="A16" i="81" a="1"/>
  <c r="A7" i="81" a="1"/>
  <c r="A8" i="81" a="1"/>
  <c r="A15" i="78" a="1"/>
  <c r="A24" i="78" a="1"/>
  <c r="A14" i="80" a="1"/>
  <c r="A21" i="78" a="1"/>
  <c r="A18" i="78" a="1"/>
  <c r="A6" i="78" a="1"/>
  <c r="A14" i="78" a="1"/>
  <c r="A19" i="78" a="1"/>
  <c r="A7" i="80" a="1"/>
  <c r="A10" i="80" a="1"/>
  <c r="A10" i="81" a="1"/>
  <c r="A16" i="80" a="1"/>
  <c r="A17" i="78" a="1"/>
  <c r="A20" i="78" a="1"/>
  <c r="A15" i="80" a="1"/>
  <c r="A12" i="81" a="1"/>
  <c r="A7" i="80" l="1"/>
  <c r="AO7" i="80" s="1"/>
  <c r="A6" i="80"/>
  <c r="AO6" i="80" s="1"/>
  <c r="A15" i="80"/>
  <c r="AO15" i="80" s="1"/>
  <c r="A16" i="81"/>
  <c r="A10" i="81"/>
  <c r="AO10" i="81" s="1"/>
  <c r="A13" i="81"/>
  <c r="A16" i="80"/>
  <c r="AO16" i="80" s="1"/>
  <c r="A14" i="81"/>
  <c r="AO14" i="81" s="1"/>
  <c r="A10" i="80"/>
  <c r="A14" i="80"/>
  <c r="A12" i="80"/>
  <c r="A11" i="80"/>
  <c r="A17" i="80"/>
  <c r="AO17" i="80" s="1"/>
  <c r="A8" i="80"/>
  <c r="AO8" i="80" s="1"/>
  <c r="A11" i="81"/>
  <c r="A12" i="81"/>
  <c r="A18" i="80"/>
  <c r="AO18" i="80" s="1"/>
  <c r="A7" i="81"/>
  <c r="A6" i="81"/>
  <c r="A9" i="80"/>
  <c r="A13" i="80"/>
  <c r="A8" i="81"/>
  <c r="AO8" i="81" s="1"/>
  <c r="A9" i="81"/>
  <c r="A31" i="78"/>
  <c r="A20" i="78"/>
  <c r="A24" i="78"/>
  <c r="A10" i="78"/>
  <c r="A11" i="78"/>
  <c r="A9" i="78"/>
  <c r="A23" i="78"/>
  <c r="A12" i="78"/>
  <c r="A25" i="78"/>
  <c r="A15" i="78"/>
  <c r="A7" i="78"/>
  <c r="A26" i="78"/>
  <c r="A19" i="78"/>
  <c r="A14" i="78"/>
  <c r="A6" i="78"/>
  <c r="A17" i="78"/>
  <c r="A13" i="78"/>
  <c r="A21" i="78"/>
  <c r="A27" i="78"/>
  <c r="A18" i="78"/>
  <c r="Q3" i="33"/>
  <c r="AJ63" i="78"/>
  <c r="AK63" i="78"/>
  <c r="AL63" i="78"/>
  <c r="Y3" i="33" a="1"/>
  <c r="Y3" i="33" s="1"/>
  <c r="AJ8" i="78"/>
  <c r="AK8" i="78"/>
  <c r="AL8" i="78"/>
  <c r="AJ16" i="78"/>
  <c r="AK16" i="78"/>
  <c r="AL16" i="78"/>
  <c r="AJ37" i="78"/>
  <c r="AK37" i="78"/>
  <c r="AL37" i="78"/>
  <c r="AJ38" i="78"/>
  <c r="AK38" i="78"/>
  <c r="AL38" i="78"/>
  <c r="AJ39" i="78"/>
  <c r="AK39" i="78"/>
  <c r="AL39" i="78"/>
  <c r="AJ40" i="78"/>
  <c r="AK40" i="78"/>
  <c r="AL40" i="78"/>
  <c r="AJ41" i="78"/>
  <c r="AK41" i="78"/>
  <c r="AL41" i="78"/>
  <c r="AJ42" i="78"/>
  <c r="AK42" i="78"/>
  <c r="AL42" i="78"/>
  <c r="AJ43" i="78"/>
  <c r="AK43" i="78"/>
  <c r="AL43" i="78"/>
  <c r="AJ44" i="78"/>
  <c r="AK44" i="78"/>
  <c r="AL44" i="78"/>
  <c r="AJ45" i="78"/>
  <c r="AK45" i="78"/>
  <c r="AL45" i="78"/>
  <c r="AJ46" i="78"/>
  <c r="AK46" i="78"/>
  <c r="AL46" i="78"/>
  <c r="AJ47" i="78"/>
  <c r="AK47" i="78"/>
  <c r="AL47" i="78"/>
  <c r="AJ48" i="78"/>
  <c r="AK48" i="78"/>
  <c r="AL48" i="78"/>
  <c r="AJ49" i="78"/>
  <c r="AK49" i="78"/>
  <c r="AL49" i="78"/>
  <c r="AJ50" i="78"/>
  <c r="AK50" i="78"/>
  <c r="AL50" i="78"/>
  <c r="AJ51" i="78"/>
  <c r="AK51" i="78"/>
  <c r="AL51" i="78"/>
  <c r="AJ52" i="78"/>
  <c r="AK52" i="78"/>
  <c r="AL52" i="78"/>
  <c r="AJ53" i="78"/>
  <c r="AK53" i="78"/>
  <c r="AL53" i="78"/>
  <c r="AJ54" i="78"/>
  <c r="AK54" i="78"/>
  <c r="AL54" i="78"/>
  <c r="AJ55" i="78"/>
  <c r="AK55" i="78"/>
  <c r="AL55" i="78"/>
  <c r="AJ56" i="78"/>
  <c r="AK56" i="78"/>
  <c r="AL56" i="78"/>
  <c r="AJ57" i="78"/>
  <c r="AK57" i="78"/>
  <c r="AL57" i="78"/>
  <c r="AJ58" i="78"/>
  <c r="AK58" i="78"/>
  <c r="AL58" i="78"/>
  <c r="AJ59" i="78"/>
  <c r="AK59" i="78"/>
  <c r="AL59" i="78"/>
  <c r="AJ60" i="78"/>
  <c r="AK60" i="78"/>
  <c r="AL60" i="78"/>
  <c r="AJ61" i="78"/>
  <c r="AK61" i="78"/>
  <c r="AL61" i="78"/>
  <c r="AJ62" i="78"/>
  <c r="AK62" i="78"/>
  <c r="AL62" i="78"/>
  <c r="AJ64" i="78"/>
  <c r="AK64" i="78"/>
  <c r="AL64" i="78"/>
  <c r="A30" i="78" a="1"/>
  <c r="A19" i="81" a="1"/>
  <c r="A19" i="81" l="1"/>
  <c r="AO19" i="81" s="1"/>
  <c r="A30" i="78"/>
  <c r="AM41" i="78"/>
  <c r="A41" i="78" s="1" a="1"/>
  <c r="A41" i="78" s="1"/>
  <c r="AM62" i="78"/>
  <c r="A62" i="78" s="1" a="1"/>
  <c r="A62" i="78" s="1"/>
  <c r="AM54" i="78"/>
  <c r="A54" i="78" s="1" a="1"/>
  <c r="A54" i="78" s="1"/>
  <c r="AM38" i="78"/>
  <c r="A38" i="78" s="1" a="1"/>
  <c r="A38" i="78" s="1"/>
  <c r="AM57" i="78"/>
  <c r="A57" i="78" s="1" a="1"/>
  <c r="A57" i="78" s="1"/>
  <c r="AM51" i="78"/>
  <c r="A51" i="78" s="1" a="1"/>
  <c r="A51" i="78" s="1"/>
  <c r="AM49" i="78"/>
  <c r="A49" i="78" s="1" a="1"/>
  <c r="A49" i="78" s="1"/>
  <c r="AM46" i="78"/>
  <c r="A46" i="78" s="1" a="1"/>
  <c r="A46" i="78" s="1"/>
  <c r="AM8" i="78"/>
  <c r="AM60" i="78"/>
  <c r="A60" i="78" s="1" a="1"/>
  <c r="A60" i="78" s="1"/>
  <c r="AM44" i="78"/>
  <c r="A44" i="78" s="1" a="1"/>
  <c r="A44" i="78" s="1"/>
  <c r="AM43" i="78"/>
  <c r="A43" i="78" s="1" a="1"/>
  <c r="A43" i="78" s="1"/>
  <c r="AM53" i="78"/>
  <c r="A53" i="78" s="1" a="1"/>
  <c r="A53" i="78" s="1"/>
  <c r="AM37" i="78"/>
  <c r="A37" i="78" s="1" a="1"/>
  <c r="A37" i="78" s="1"/>
  <c r="AM58" i="78"/>
  <c r="A58" i="78" s="1" a="1"/>
  <c r="A58" i="78" s="1"/>
  <c r="AM42" i="78"/>
  <c r="A42" i="78" s="1" a="1"/>
  <c r="A42" i="78" s="1"/>
  <c r="AM64" i="78"/>
  <c r="A64" i="78" s="1" a="1"/>
  <c r="A64" i="78" s="1"/>
  <c r="AM47" i="78"/>
  <c r="A47" i="78" s="1" a="1"/>
  <c r="A47" i="78" s="1"/>
  <c r="AM52" i="78"/>
  <c r="A52" i="78" s="1" a="1"/>
  <c r="A52" i="78" s="1"/>
  <c r="AM63" i="78"/>
  <c r="A63" i="78" s="1" a="1"/>
  <c r="A63" i="78" s="1"/>
  <c r="AM59" i="78"/>
  <c r="A59" i="78" s="1" a="1"/>
  <c r="A59" i="78" s="1"/>
  <c r="AM48" i="78"/>
  <c r="A48" i="78" s="1" a="1"/>
  <c r="A48" i="78" s="1"/>
  <c r="AM56" i="78"/>
  <c r="A56" i="78" s="1" a="1"/>
  <c r="A56" i="78" s="1"/>
  <c r="AM40" i="78"/>
  <c r="A40" i="78" s="1" a="1"/>
  <c r="A40" i="78" s="1"/>
  <c r="AM61" i="78"/>
  <c r="A61" i="78" s="1" a="1"/>
  <c r="A61" i="78" s="1"/>
  <c r="AM45" i="78"/>
  <c r="A45" i="78" s="1" a="1"/>
  <c r="A45" i="78" s="1"/>
  <c r="AM50" i="78"/>
  <c r="A50" i="78" s="1" a="1"/>
  <c r="A50" i="78" s="1"/>
  <c r="AM16" i="78"/>
  <c r="AM55" i="78"/>
  <c r="A55" i="78" s="1" a="1"/>
  <c r="A55" i="78" s="1"/>
  <c r="AM39" i="78"/>
  <c r="A39" i="78" s="1" a="1"/>
  <c r="A39" i="78" s="1"/>
  <c r="A16" i="78" a="1"/>
  <c r="A8" i="78" a="1"/>
  <c r="A16" i="78" l="1"/>
  <c r="AO16" i="78" s="1"/>
  <c r="A8" i="78"/>
  <c r="AO37" i="78"/>
  <c r="AO39" i="78"/>
  <c r="AO38" i="78"/>
  <c r="AI67" i="78" a="1"/>
  <c r="AI67" i="78" s="1"/>
  <c r="AH67" i="78" a="1"/>
  <c r="AH67" i="78" s="1"/>
  <c r="AG67" i="78" a="1"/>
  <c r="AG67" i="78" s="1"/>
  <c r="AF67" i="78" a="1"/>
  <c r="AF67" i="78" s="1"/>
  <c r="AE67" i="78" a="1"/>
  <c r="AE67" i="78" s="1"/>
  <c r="AD67" i="78" a="1"/>
  <c r="AD67" i="78" s="1"/>
  <c r="AC67" i="78" a="1"/>
  <c r="AC67" i="78" s="1"/>
  <c r="AB67" i="78" a="1"/>
  <c r="AB67" i="78" s="1"/>
  <c r="AA67" i="78" a="1"/>
  <c r="AA67" i="78" s="1"/>
  <c r="Z67" i="78" a="1"/>
  <c r="Z67" i="78" s="1"/>
  <c r="Y67" i="78" a="1"/>
  <c r="Y67" i="78" s="1"/>
  <c r="X67" i="78" a="1"/>
  <c r="X67" i="78" s="1"/>
  <c r="W67" i="78" a="1"/>
  <c r="W67" i="78" s="1"/>
  <c r="V67" i="78" a="1"/>
  <c r="V67" i="78" s="1"/>
  <c r="U67" i="78" a="1"/>
  <c r="U67" i="78" s="1"/>
  <c r="T67" i="78" a="1"/>
  <c r="T67" i="78" s="1"/>
  <c r="S67" i="78" a="1"/>
  <c r="S67" i="78" s="1"/>
  <c r="R67" i="78" a="1"/>
  <c r="R67" i="78" s="1"/>
  <c r="Q67" i="78" a="1"/>
  <c r="Q67" i="78" s="1"/>
  <c r="P67" i="78" a="1"/>
  <c r="P67" i="78" s="1"/>
  <c r="O67" i="78" a="1"/>
  <c r="O67" i="78" s="1"/>
  <c r="N67" i="78" a="1"/>
  <c r="N67" i="78" s="1"/>
  <c r="M67" i="78" a="1"/>
  <c r="M67" i="78" s="1"/>
  <c r="L67" i="78" a="1"/>
  <c r="L67" i="78" s="1"/>
  <c r="K67" i="78" a="1"/>
  <c r="K67" i="78" s="1"/>
  <c r="J67" i="78" a="1"/>
  <c r="J67" i="78" s="1"/>
  <c r="I67" i="78" a="1"/>
  <c r="I67" i="78" s="1"/>
  <c r="H67" i="78" a="1"/>
  <c r="H67" i="78" s="1"/>
  <c r="H72" i="78" s="1"/>
  <c r="AI66" i="78" a="1"/>
  <c r="AI66" i="78" s="1"/>
  <c r="AH66" i="78" a="1"/>
  <c r="AH66" i="78" s="1"/>
  <c r="AG66" i="78" a="1"/>
  <c r="AG66" i="78" s="1"/>
  <c r="AF66" i="78" a="1"/>
  <c r="AF66" i="78" s="1"/>
  <c r="AE66" i="78" a="1"/>
  <c r="AE66" i="78" s="1"/>
  <c r="AD66" i="78" a="1"/>
  <c r="AD66" i="78" s="1"/>
  <c r="AC66" i="78" a="1"/>
  <c r="AC66" i="78" s="1"/>
  <c r="AB66" i="78" a="1"/>
  <c r="AB66" i="78" s="1"/>
  <c r="AA66" i="78" a="1"/>
  <c r="AA66" i="78" s="1"/>
  <c r="Z66" i="78" a="1"/>
  <c r="Z66" i="78" s="1"/>
  <c r="Y66" i="78" a="1"/>
  <c r="Y66" i="78" s="1"/>
  <c r="X66" i="78" a="1"/>
  <c r="X66" i="78" s="1"/>
  <c r="W66" i="78" a="1"/>
  <c r="W66" i="78" s="1"/>
  <c r="V66" i="78" a="1"/>
  <c r="V66" i="78" s="1"/>
  <c r="U66" i="78" a="1"/>
  <c r="U66" i="78" s="1"/>
  <c r="T66" i="78" a="1"/>
  <c r="T66" i="78" s="1"/>
  <c r="S66" i="78" a="1"/>
  <c r="S66" i="78" s="1"/>
  <c r="R66" i="78" a="1"/>
  <c r="R66" i="78" s="1"/>
  <c r="Q66" i="78" a="1"/>
  <c r="Q66" i="78" s="1"/>
  <c r="P66" i="78" a="1"/>
  <c r="P66" i="78" s="1"/>
  <c r="O66" i="78" a="1"/>
  <c r="O66" i="78" s="1"/>
  <c r="N66" i="78" a="1"/>
  <c r="N66" i="78" s="1"/>
  <c r="M66" i="78" a="1"/>
  <c r="M66" i="78" s="1"/>
  <c r="L66" i="78" a="1"/>
  <c r="L66" i="78" s="1"/>
  <c r="K66" i="78" a="1"/>
  <c r="K66" i="78" s="1"/>
  <c r="J66" i="78" a="1"/>
  <c r="J66" i="78" s="1"/>
  <c r="I66" i="78" a="1"/>
  <c r="I66" i="78" s="1"/>
  <c r="H66" i="78" a="1"/>
  <c r="H66" i="78" s="1"/>
  <c r="AL22" i="78"/>
  <c r="AK22" i="78"/>
  <c r="AJ22" i="78"/>
  <c r="H5" i="78"/>
  <c r="I5" i="78" s="1"/>
  <c r="J5" i="78" s="1"/>
  <c r="K5" i="78" s="1"/>
  <c r="L4" i="78"/>
  <c r="P4" i="78" s="1"/>
  <c r="A1" i="78"/>
  <c r="U3" i="33" a="1"/>
  <c r="U3" i="33" s="1"/>
  <c r="W3" i="33" a="1"/>
  <c r="W3" i="33" s="1"/>
  <c r="V3" i="33" a="1"/>
  <c r="V3" i="33" s="1"/>
  <c r="U72" i="78" l="1"/>
  <c r="S72" i="78"/>
  <c r="AI72" i="78"/>
  <c r="Q72" i="78"/>
  <c r="AG72" i="78"/>
  <c r="Y72" i="78"/>
  <c r="L72" i="78"/>
  <c r="W72" i="78"/>
  <c r="J72" i="78"/>
  <c r="AD72" i="78"/>
  <c r="O72" i="78"/>
  <c r="AF72" i="78"/>
  <c r="V72" i="78"/>
  <c r="X72" i="78"/>
  <c r="Z72" i="78"/>
  <c r="K72" i="78"/>
  <c r="AA72" i="78"/>
  <c r="AB72" i="78"/>
  <c r="AC72" i="78"/>
  <c r="M72" i="78"/>
  <c r="N72" i="78"/>
  <c r="AE72" i="78"/>
  <c r="P72" i="78"/>
  <c r="R72" i="78"/>
  <c r="AH72" i="78"/>
  <c r="T72" i="78"/>
  <c r="I72" i="78"/>
  <c r="AJ4" i="78"/>
  <c r="AK4" i="78"/>
  <c r="AO49" i="78"/>
  <c r="AO15" i="78"/>
  <c r="AO50" i="78"/>
  <c r="AO48" i="78"/>
  <c r="AO64" i="78"/>
  <c r="AO47" i="78"/>
  <c r="AO52" i="78"/>
  <c r="AO62" i="78"/>
  <c r="AO46" i="78"/>
  <c r="AO8" i="78"/>
  <c r="AO61" i="78"/>
  <c r="AO45" i="78"/>
  <c r="AO7" i="78"/>
  <c r="AO60" i="78"/>
  <c r="AO44" i="78"/>
  <c r="AO59" i="78"/>
  <c r="AO51" i="78"/>
  <c r="AO57" i="78"/>
  <c r="AO42" i="78"/>
  <c r="AO21" i="78"/>
  <c r="AO56" i="78"/>
  <c r="AO55" i="78"/>
  <c r="AO41" i="78"/>
  <c r="AO54" i="78"/>
  <c r="AO40" i="78"/>
  <c r="AO26" i="78"/>
  <c r="AO53" i="78"/>
  <c r="AO19" i="78"/>
  <c r="AO58" i="78"/>
  <c r="AO6" i="78"/>
  <c r="AO20" i="78"/>
  <c r="AO43" i="78"/>
  <c r="M68" i="78"/>
  <c r="AI68" i="78"/>
  <c r="O68" i="78"/>
  <c r="W68" i="78"/>
  <c r="AL4" i="78"/>
  <c r="P69" i="78" a="1"/>
  <c r="P69" i="78" s="1"/>
  <c r="K68" i="78"/>
  <c r="AA68" i="78"/>
  <c r="AC70" i="78" a="1"/>
  <c r="AC70" i="78" s="1"/>
  <c r="AC75" i="78" s="1"/>
  <c r="N68" i="78"/>
  <c r="L68" i="78"/>
  <c r="AB68" i="78"/>
  <c r="X68" i="78"/>
  <c r="Y68" i="78"/>
  <c r="V68" i="78"/>
  <c r="J68" i="78"/>
  <c r="Z68" i="78"/>
  <c r="I74" i="78"/>
  <c r="U74" i="78"/>
  <c r="AI74" i="78"/>
  <c r="J74" i="78"/>
  <c r="V74" i="78"/>
  <c r="AF74" i="78"/>
  <c r="T74" i="78"/>
  <c r="AH74" i="78"/>
  <c r="K74" i="78"/>
  <c r="W74" i="78"/>
  <c r="AK67" i="78"/>
  <c r="AG74" i="78"/>
  <c r="AE68" i="78"/>
  <c r="O74" i="78"/>
  <c r="AB74" i="78"/>
  <c r="U68" i="78"/>
  <c r="Q69" i="78" a="1"/>
  <c r="Q69" i="78" s="1"/>
  <c r="Z74" i="78"/>
  <c r="AC68" i="78"/>
  <c r="AA74" i="78"/>
  <c r="R68" i="78"/>
  <c r="N74" i="78"/>
  <c r="S68" i="78"/>
  <c r="AF68" i="78"/>
  <c r="P74" i="78"/>
  <c r="X74" i="78"/>
  <c r="M74" i="78"/>
  <c r="AD68" i="78"/>
  <c r="AG68" i="78"/>
  <c r="Q74" i="78"/>
  <c r="AC74" i="78"/>
  <c r="L74" i="78"/>
  <c r="Y74" i="78"/>
  <c r="P68" i="78"/>
  <c r="Q68" i="78"/>
  <c r="AK66" i="78"/>
  <c r="H68" i="78"/>
  <c r="T68" i="78"/>
  <c r="AH68" i="78"/>
  <c r="R74" i="78"/>
  <c r="AD74" i="78"/>
  <c r="H74" i="78"/>
  <c r="P5" i="78"/>
  <c r="Q5" i="78" s="1"/>
  <c r="R5" i="78" s="1"/>
  <c r="S5" i="78" s="1"/>
  <c r="T4" i="78"/>
  <c r="I68" i="78"/>
  <c r="S74" i="78"/>
  <c r="AE74" i="78"/>
  <c r="AJ66" i="78" a="1"/>
  <c r="AJ66" i="78" s="1"/>
  <c r="O69" i="78" a="1"/>
  <c r="O69" i="78" s="1"/>
  <c r="W69" i="78" a="1"/>
  <c r="W69" i="78" s="1"/>
  <c r="AE69" i="78" a="1"/>
  <c r="AE69" i="78" s="1"/>
  <c r="N70" i="78" a="1"/>
  <c r="N70" i="78" s="1"/>
  <c r="N75" i="78" s="1"/>
  <c r="V70" i="78" a="1"/>
  <c r="V70" i="78" s="1"/>
  <c r="V75" i="78" s="1"/>
  <c r="AD70" i="78" a="1"/>
  <c r="AD70" i="78" s="1"/>
  <c r="AD75" i="78" s="1"/>
  <c r="X70" i="78" a="1"/>
  <c r="X70" i="78" s="1"/>
  <c r="X75" i="78" s="1"/>
  <c r="W70" i="78" a="1"/>
  <c r="W70" i="78" s="1"/>
  <c r="W75" i="78" s="1"/>
  <c r="I69" i="78" a="1"/>
  <c r="I69" i="78" s="1"/>
  <c r="P70" i="78" a="1"/>
  <c r="P70" i="78" s="1"/>
  <c r="P75" i="78" s="1"/>
  <c r="J69" i="78" a="1"/>
  <c r="J69" i="78" s="1"/>
  <c r="Z69" i="78" a="1"/>
  <c r="Z69" i="78" s="1"/>
  <c r="I70" i="78" a="1"/>
  <c r="I70" i="78" s="1"/>
  <c r="I75" i="78" s="1"/>
  <c r="Q70" i="78" a="1"/>
  <c r="Q70" i="78" s="1"/>
  <c r="Q75" i="78" s="1"/>
  <c r="Y70" i="78" a="1"/>
  <c r="Y70" i="78" s="1"/>
  <c r="Y75" i="78" s="1"/>
  <c r="AG70" i="78" a="1"/>
  <c r="AG70" i="78" s="1"/>
  <c r="AG75" i="78" s="1"/>
  <c r="AE70" i="78" a="1"/>
  <c r="AE70" i="78" s="1"/>
  <c r="AE75" i="78" s="1"/>
  <c r="AG69" i="78" a="1"/>
  <c r="AG69" i="78" s="1"/>
  <c r="R69" i="78" a="1"/>
  <c r="R69" i="78" s="1"/>
  <c r="AH69" i="78" a="1"/>
  <c r="AH69" i="78" s="1"/>
  <c r="AM22" i="78"/>
  <c r="X69" i="78" a="1"/>
  <c r="X69" i="78" s="1"/>
  <c r="AF70" i="78" a="1"/>
  <c r="AF70" i="78" s="1"/>
  <c r="AF75" i="78" s="1"/>
  <c r="S69" i="78" a="1"/>
  <c r="S69" i="78" s="1"/>
  <c r="AI69" i="78" a="1"/>
  <c r="AI69" i="78" s="1"/>
  <c r="J70" i="78" a="1"/>
  <c r="J70" i="78" s="1"/>
  <c r="J75" i="78" s="1"/>
  <c r="R70" i="78" a="1"/>
  <c r="R70" i="78" s="1"/>
  <c r="R75" i="78" s="1"/>
  <c r="Z70" i="78" a="1"/>
  <c r="Z70" i="78" s="1"/>
  <c r="Z75" i="78" s="1"/>
  <c r="AH70" i="78" a="1"/>
  <c r="AH70" i="78" s="1"/>
  <c r="AH75" i="78" s="1"/>
  <c r="H69" i="78" a="1"/>
  <c r="H69" i="78" s="1"/>
  <c r="H70" i="78" a="1"/>
  <c r="H70" i="78" s="1"/>
  <c r="H75" i="78" s="1"/>
  <c r="K69" i="78" a="1"/>
  <c r="K69" i="78" s="1"/>
  <c r="AA69" i="78" a="1"/>
  <c r="AA69" i="78" s="1"/>
  <c r="AF69" i="78" a="1"/>
  <c r="AF69" i="78" s="1"/>
  <c r="Y69" i="78" a="1"/>
  <c r="Y69" i="78" s="1"/>
  <c r="L69" i="78" a="1"/>
  <c r="L69" i="78" s="1"/>
  <c r="T69" i="78" a="1"/>
  <c r="T69" i="78" s="1"/>
  <c r="AB69" i="78" a="1"/>
  <c r="AB69" i="78" s="1"/>
  <c r="K70" i="78" a="1"/>
  <c r="K70" i="78" s="1"/>
  <c r="K75" i="78" s="1"/>
  <c r="S70" i="78" a="1"/>
  <c r="S70" i="78" s="1"/>
  <c r="S75" i="78" s="1"/>
  <c r="AA70" i="78" a="1"/>
  <c r="AA70" i="78" s="1"/>
  <c r="AA75" i="78" s="1"/>
  <c r="AI70" i="78" a="1"/>
  <c r="AI70" i="78" s="1"/>
  <c r="AI75" i="78" s="1"/>
  <c r="L5" i="78"/>
  <c r="M5" i="78" s="1"/>
  <c r="N5" i="78" s="1"/>
  <c r="O5" i="78" s="1"/>
  <c r="O70" i="78" a="1"/>
  <c r="O70" i="78" s="1"/>
  <c r="O75" i="78" s="1"/>
  <c r="AJ67" i="78" a="1"/>
  <c r="AJ67" i="78" s="1"/>
  <c r="M69" i="78" a="1"/>
  <c r="M69" i="78" s="1"/>
  <c r="U69" i="78" a="1"/>
  <c r="U69" i="78" s="1"/>
  <c r="AC69" i="78" a="1"/>
  <c r="AC69" i="78" s="1"/>
  <c r="L70" i="78" a="1"/>
  <c r="L70" i="78" s="1"/>
  <c r="L75" i="78" s="1"/>
  <c r="T70" i="78" a="1"/>
  <c r="T70" i="78" s="1"/>
  <c r="T75" i="78" s="1"/>
  <c r="AB70" i="78" a="1"/>
  <c r="AB70" i="78" s="1"/>
  <c r="AB75" i="78" s="1"/>
  <c r="N69" i="78" a="1"/>
  <c r="N69" i="78" s="1"/>
  <c r="V69" i="78" a="1"/>
  <c r="V69" i="78" s="1"/>
  <c r="AD69" i="78" a="1"/>
  <c r="AD69" i="78" s="1"/>
  <c r="M70" i="78" a="1"/>
  <c r="M70" i="78" s="1"/>
  <c r="M75" i="78" s="1"/>
  <c r="U70" i="78" a="1"/>
  <c r="U70" i="78" s="1"/>
  <c r="U75" i="78" s="1"/>
  <c r="A22" i="78" a="1"/>
  <c r="A22" i="78" l="1"/>
  <c r="AO22" i="78" s="1"/>
  <c r="AM67" i="78" a="1"/>
  <c r="AM67" i="78" s="1"/>
  <c r="AL67" i="78" s="1"/>
  <c r="AM4" i="78"/>
  <c r="P76" i="78"/>
  <c r="N71" i="78"/>
  <c r="K76" i="78"/>
  <c r="R76" i="78"/>
  <c r="J76" i="78"/>
  <c r="T76" i="78"/>
  <c r="AG76" i="78"/>
  <c r="AC76" i="78"/>
  <c r="AF76" i="78"/>
  <c r="I76" i="78"/>
  <c r="N76" i="78"/>
  <c r="Y76" i="78"/>
  <c r="Q76" i="78"/>
  <c r="AD71" i="78"/>
  <c r="AD76" i="78"/>
  <c r="X76" i="78"/>
  <c r="AB71" i="78"/>
  <c r="AA71" i="78"/>
  <c r="K71" i="78"/>
  <c r="L76" i="78"/>
  <c r="I71" i="78"/>
  <c r="U76" i="78"/>
  <c r="M76" i="78"/>
  <c r="Z76" i="78"/>
  <c r="AA76" i="78"/>
  <c r="Q71" i="78"/>
  <c r="AM66" i="78" a="1"/>
  <c r="AM66" i="78" s="1"/>
  <c r="AH71" i="78"/>
  <c r="P71" i="78"/>
  <c r="R71" i="78"/>
  <c r="AB76" i="78"/>
  <c r="AK68" i="78"/>
  <c r="AM70" i="78"/>
  <c r="AG71" i="78"/>
  <c r="T5" i="78"/>
  <c r="U5" i="78" s="1"/>
  <c r="V5" i="78" s="1"/>
  <c r="W5" i="78" s="1"/>
  <c r="X4" i="78"/>
  <c r="AI71" i="78"/>
  <c r="AI76" i="78"/>
  <c r="S76" i="78"/>
  <c r="AC71" i="78"/>
  <c r="U71" i="78"/>
  <c r="L71" i="78"/>
  <c r="S71" i="78"/>
  <c r="AE71" i="78"/>
  <c r="H71" i="78"/>
  <c r="AM69" i="78"/>
  <c r="T71" i="78"/>
  <c r="M71" i="78"/>
  <c r="Y71" i="78"/>
  <c r="W71" i="78"/>
  <c r="AF71" i="78"/>
  <c r="O71" i="78"/>
  <c r="AM74" i="78"/>
  <c r="AE76" i="78"/>
  <c r="X71" i="78"/>
  <c r="Z71" i="78"/>
  <c r="AJ68" i="78"/>
  <c r="W76" i="78"/>
  <c r="J71" i="78"/>
  <c r="AH76" i="78"/>
  <c r="V71" i="78"/>
  <c r="O76" i="78"/>
  <c r="V76" i="78"/>
  <c r="AO30" i="78" l="1"/>
  <c r="AL66" i="78"/>
  <c r="AM68" i="78"/>
  <c r="AL68" i="78" s="1"/>
  <c r="AM71" i="78"/>
  <c r="X5" i="78"/>
  <c r="Y5" i="78" s="1"/>
  <c r="Z5" i="78" s="1"/>
  <c r="AA5" i="78" s="1"/>
  <c r="AB4" i="78"/>
  <c r="AM75" i="78"/>
  <c r="H76" i="78"/>
  <c r="AM76" i="78" s="1"/>
  <c r="AB5" i="78" l="1"/>
  <c r="AC5" i="78" s="1"/>
  <c r="AD5" i="78" s="1"/>
  <c r="AE5" i="78" s="1"/>
  <c r="AF4" i="78"/>
  <c r="AF5" i="78" s="1"/>
  <c r="AG5" i="78" s="1"/>
  <c r="AH5" i="78" s="1"/>
  <c r="AI5" i="78" s="1"/>
  <c r="AB3" i="33" l="1" a="1"/>
  <c r="AB3" i="33" s="1"/>
  <c r="X3" i="33" a="1"/>
  <c r="X3" i="33" s="1"/>
  <c r="S3" i="33" a="1"/>
  <c r="S3" i="33" l="1"/>
  <c r="A25" i="81" a="1"/>
  <c r="A33" i="78" a="1"/>
  <c r="A34" i="78" a="1"/>
  <c r="A32" i="78" a="1"/>
  <c r="A24" i="81" a="1"/>
  <c r="A21" i="81" a="1"/>
  <c r="A26" i="81" a="1"/>
  <c r="A35" i="78" a="1"/>
  <c r="A21" i="81" l="1"/>
  <c r="A26" i="81"/>
  <c r="A24" i="81"/>
  <c r="A25" i="81"/>
  <c r="AO25" i="81" s="1"/>
  <c r="A35" i="78"/>
  <c r="A34" i="78"/>
  <c r="AO34" i="78" s="1"/>
  <c r="A33" i="78"/>
  <c r="A32" i="78"/>
  <c r="R3" i="33" a="1"/>
  <c r="T3" i="33" a="1"/>
  <c r="T3" i="33" s="1"/>
  <c r="AC3" i="33" a="1"/>
  <c r="AC3" i="33" s="1"/>
  <c r="R3" i="33" l="1"/>
  <c r="C10" i="63"/>
  <c r="C9" i="63"/>
  <c r="C8" i="63"/>
  <c r="C7" i="63"/>
  <c r="C6" i="63"/>
  <c r="C5" i="63"/>
  <c r="C4" i="63"/>
  <c r="C3" i="63"/>
  <c r="P3" i="33" l="1" a="1"/>
  <c r="P3" i="33" l="1"/>
  <c r="Z3" i="33" a="1"/>
  <c r="Z3" i="33" s="1"/>
  <c r="AA3" i="33" a="1"/>
  <c r="AA3" i="33" s="1"/>
  <c r="A18" i="81" a="1"/>
  <c r="A17" i="81" a="1"/>
  <c r="A29" i="78" a="1"/>
  <c r="A28" i="78" a="1"/>
  <c r="A17" i="81" l="1"/>
  <c r="AO17" i="81" s="1"/>
  <c r="A18" i="81"/>
  <c r="AO18" i="81" s="1"/>
  <c r="A29" i="78"/>
  <c r="AO29" i="78" s="1"/>
  <c r="A28" i="78"/>
  <c r="AO28" i="7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<sst xmlns="http://schemas.openxmlformats.org/spreadsheetml/2006/main" count="1153" uniqueCount="347">
  <si>
    <r>
      <rPr>
        <b/>
        <sz val="11"/>
        <color rgb="FFFF0000"/>
        <rFont val="Calibri"/>
        <family val="2"/>
        <scheme val="minor"/>
      </rPr>
      <t xml:space="preserve">Instructions: </t>
    </r>
    <r>
      <rPr>
        <b/>
        <sz val="11"/>
        <color theme="1"/>
        <rFont val="Calibri"/>
        <family val="2"/>
        <scheme val="minor"/>
      </rPr>
      <t xml:space="preserve">
Please enter your function's name and capture assumptions applicable to your sizing</t>
    </r>
  </si>
  <si>
    <t>Team Name / Function</t>
  </si>
  <si>
    <t>Scope / Deliverables</t>
  </si>
  <si>
    <t>Assumptions</t>
  </si>
  <si>
    <t>Risks</t>
  </si>
  <si>
    <t>Platform Security FW</t>
  </si>
  <si>
    <t>SPG_MM_Audio</t>
  </si>
  <si>
    <t>Scope of Work:
•	Reuse of Medusa ACP 7.3a (AAF2.0 &amp; Client Linux leverage)
•	Delta:
o	SW ASILB support:
	Audio chimes
	ACP monitored by safety island
o	HW ASRC: Need to confirm with program – WIP. 
Note: For the base support we can leverage deliverables to automotive. FUSA and ASRC are prilim right now, will adjust the HC in future based on the final mPRS and the scope of FUSA work.</t>
  </si>
  <si>
    <t>1. SW ASILB &amp; HW ASRC are required as per the priliminary understanding.
2. Legacy reuse</t>
  </si>
  <si>
    <t>3D Graphics and Compiler Team</t>
  </si>
  <si>
    <t>Assumptions: 
1. We're moving forward with Open Sourced XGL &amp; OGLP, which under Jeff W's organization instead of under Rodney's organization. 
2. We're running this product on Linux &amp; RTOS, no windows support for this program
Therefore, there's no PAL work, no Graphics Compiler work, nor there is proprietary XGL &amp; OGL work</t>
  </si>
  <si>
    <t>SPG_Display NPI</t>
  </si>
  <si>
    <t>SPG_MM_Video NPI</t>
  </si>
  <si>
    <t>Leverage NVE version, that was bring up on Windows, is reused.  
NVE 1.3 will be used for Capitola.  
Capitola is the first to use this 1 core config of NVE
NVE 1.3 FW and MMCore support for Linux upstream. Feature set scope is below:
. HEVC / AVC / AV1 4:2:0 encode and decode
. AV2 4:2:0 decode TBD 
. H.264 / H.265 4:2:2 encode and decode
. H.264 / H.265 / AV2 4:4:4 encode and decode
. Encode: Single-core, 4K-only
. Decode: Single-core, 4K-only
. No DCTD (no DNx decode)
. No JPEG decode
. No VPP
. No MEE_ML
. No MEE_Video</t>
  </si>
  <si>
    <t>1. Linux only
2. No RAS/ASILB for NVE</t>
  </si>
  <si>
    <t>SPG_MM Video NTI</t>
  </si>
  <si>
    <t>UES feature validation, bringup/debug support
UES ASILB support for functinal safety</t>
  </si>
  <si>
    <t>QoS policies is transparant to MM in the new internal VPE-&gt;DCN pipeline</t>
  </si>
  <si>
    <t>RLC Firmware</t>
  </si>
  <si>
    <t xml:space="preserve">Leverage Grimlock, Eris. </t>
  </si>
  <si>
    <t>CP Firmware</t>
  </si>
  <si>
    <t>Based on Grimlock</t>
  </si>
  <si>
    <t>PMFW</t>
  </si>
  <si>
    <t>Leverage Medusa, Eric, Grimlock</t>
  </si>
  <si>
    <t>Pre-si development only. Post-si work is executed by the business unit.</t>
  </si>
  <si>
    <t>Core Linux</t>
  </si>
  <si>
    <t>Advanced Technologies Group</t>
  </si>
  <si>
    <t>-Program Management: Manage Capitola board delivery, Linux dependencies, Android bringup, xTS resolution
-Architecture: Architecture support and technical guidance for Capitola platform
- GNPU: Graphics performance analysis and ML workload analysis/optimization
- Android VAS3.0: Deliver Android Automotive features 
-Robotics SW/Usecases: Deliver Robotics SW stack and end-customer use-cases including simulator HW acceleration
- FuSA: ISO26262 functional safety guidance for ASIL-B compliance 
- DevOps + Validation/QA: Platform validation and quality assurance, CI build pipeline setup and maintenance</t>
  </si>
  <si>
    <t xml:space="preserve">- HC sizing is based on analogous programs (Fairview, Glacier Peak, GLK) since specific use-cases aren't yet available
- Component teams own UMD, Compiler, and KMD delivery
- Component teams own FuSa ASIL-level scoping/sizing for their modules. ATG scoping constrained to guidance/consulting only
- Balanced ownership of full system validation split between ATG and other teams
</t>
  </si>
  <si>
    <t>-Pre‑silicon VAS3.0 stack non-availability will delay Android bring‑up
-Unclear validation ownership across teams
-HC sizing uncertainty due to limited use‑case definition
-Dependency risk from component team deliverables</t>
  </si>
  <si>
    <t>SPG_SPIO</t>
  </si>
  <si>
    <t>Pre-Si FW Prg Mgr</t>
  </si>
  <si>
    <t>FW program execution (HLD → AFE) by owning integrated plans, dependency mapping (FW, emulation, SimNow, DV), risk identification/closure, and executive readiness reporting to ensure feature enablement and milestone exit criteria are met across all pre-silicon workstreams</t>
  </si>
  <si>
    <t>Pre-Si execution is gated by alignment of models, validation, requirements, and cross-functional dependencies—any slip directly blocks FW readiness and milestone exits.</t>
  </si>
  <si>
    <t>Status</t>
  </si>
  <si>
    <t xml:space="preserve">Notes: BU - AECG
- incorporate the updated R&amp;R scope work-split with EPD and G&amp;E SW
</t>
  </si>
  <si>
    <t>In Progress</t>
  </si>
  <si>
    <t>Last Updated</t>
  </si>
  <si>
    <t>Schedule Milestones&gt;&gt;</t>
  </si>
  <si>
    <t>LSA</t>
  </si>
  <si>
    <t>LSB</t>
  </si>
  <si>
    <t>LSC</t>
  </si>
  <si>
    <t>LSD</t>
  </si>
  <si>
    <t>BTO</t>
  </si>
  <si>
    <t>UU</t>
  </si>
  <si>
    <t>IP</t>
  </si>
  <si>
    <t>Resource Allocation</t>
  </si>
  <si>
    <t>Category</t>
  </si>
  <si>
    <t>Leader</t>
  </si>
  <si>
    <t>Top Level Team</t>
  </si>
  <si>
    <t>Function / Contact</t>
  </si>
  <si>
    <t>Location</t>
  </si>
  <si>
    <t>Allocation File</t>
  </si>
  <si>
    <t>HC Type</t>
  </si>
  <si>
    <t>Sum HC</t>
  </si>
  <si>
    <t>Peak HC</t>
  </si>
  <si>
    <t>Rate</t>
  </si>
  <si>
    <t>Cost</t>
  </si>
  <si>
    <t>HC Profile
(mini)</t>
  </si>
  <si>
    <t>Check</t>
  </si>
  <si>
    <t>Chris</t>
  </si>
  <si>
    <t>SPG_FWProgMgmt</t>
  </si>
  <si>
    <t>Pre-Si Sys FW PM</t>
  </si>
  <si>
    <t>Canada</t>
  </si>
  <si>
    <t>alloc_PFO_PM_Arch</t>
  </si>
  <si>
    <t>Incremental - XCHG</t>
  </si>
  <si>
    <t>SPG_Platform Security</t>
  </si>
  <si>
    <t>UBU / LibROM</t>
  </si>
  <si>
    <t>alloc_PSPSecurity_MKM</t>
  </si>
  <si>
    <t>ART FW / ASP FW / Manufacturing FW</t>
  </si>
  <si>
    <t>SPG_PMFW</t>
  </si>
  <si>
    <t>alloc_PMFW</t>
  </si>
  <si>
    <t>ICTFW</t>
  </si>
  <si>
    <t>alloc_SPIO</t>
  </si>
  <si>
    <t>OpenSIL + PFQ</t>
  </si>
  <si>
    <t>MEM + DF</t>
  </si>
  <si>
    <t>SPG_VBIOS CP</t>
  </si>
  <si>
    <t>GAIT CP FW</t>
  </si>
  <si>
    <t>alloc_CP</t>
  </si>
  <si>
    <t>SPG_VBIOS RLC</t>
  </si>
  <si>
    <t>GAIT RLC FW</t>
  </si>
  <si>
    <t>China Shanghai</t>
  </si>
  <si>
    <t>alloc_RLC</t>
  </si>
  <si>
    <t>Hugo</t>
  </si>
  <si>
    <t>SPG_Security</t>
  </si>
  <si>
    <t>SDL</t>
  </si>
  <si>
    <t>USA</t>
  </si>
  <si>
    <t>alloc_Product Security</t>
  </si>
  <si>
    <t>Existing - AOP</t>
  </si>
  <si>
    <t>FIPS certification</t>
  </si>
  <si>
    <t>Matthias</t>
  </si>
  <si>
    <t>SPG_SW_ProgramManagers</t>
  </si>
  <si>
    <t>Cross-Functional SW PM</t>
  </si>
  <si>
    <t>alloc_Program Management_AlejandroR</t>
  </si>
  <si>
    <t>Rodney</t>
  </si>
  <si>
    <t>SPG_ShaderCompiler</t>
  </si>
  <si>
    <t>Lightning Compiler</t>
  </si>
  <si>
    <t>alloc_CG 3D Drivers And Compilers</t>
  </si>
  <si>
    <t>Syed</t>
  </si>
  <si>
    <t>Charlie Wang</t>
  </si>
  <si>
    <t>alloc_Display Solution_CharlieW</t>
  </si>
  <si>
    <t>SPG_MM Audio</t>
  </si>
  <si>
    <t>ACP FW/ Driver</t>
  </si>
  <si>
    <t>Taiwan</t>
  </si>
  <si>
    <t>alloc_SWDEV_HYD_MM_Audio_NonWin</t>
  </si>
  <si>
    <t>SPG_MM Video NPI</t>
  </si>
  <si>
    <t>Konstantin Moskvitin</t>
  </si>
  <si>
    <t>alloc_mmdrivers_video_playback_pipelines</t>
  </si>
  <si>
    <t>Bill Li</t>
  </si>
  <si>
    <t>alloc_mmdrivers_video_encode</t>
  </si>
  <si>
    <t>Terms of Reference</t>
  </si>
  <si>
    <t>HC Profile</t>
  </si>
  <si>
    <t>Existing resources already hired, AOP funded on a permanent basis</t>
  </si>
  <si>
    <t>e.g. HC_REG, HC_TEM, HC_COO, HC_CON, Commit - Co-Op</t>
  </si>
  <si>
    <t>Grand Total</t>
  </si>
  <si>
    <t>Cost Profile ($M)</t>
  </si>
  <si>
    <t>Incremental resources request for HC, XCHG funded (typical) on a temporary basis</t>
  </si>
  <si>
    <t>e.g. Gaps, Non-HC - SPW, Outside Services (OSS)</t>
  </si>
  <si>
    <t>Adjustment</t>
  </si>
  <si>
    <t>Incremental HC delta</t>
  </si>
  <si>
    <t>Scenarios</t>
  </si>
  <si>
    <t>NC         - No change</t>
  </si>
  <si>
    <t>Adjustment (HC)</t>
  </si>
  <si>
    <t>New Incr. Cost ($M)</t>
  </si>
  <si>
    <t>New Grand Total ($M)</t>
  </si>
  <si>
    <t xml:space="preserve">Notes: BU - AECG
- incorporate the updated R&amp;R scope work-split with PAVS and G&amp;E SW
</t>
  </si>
  <si>
    <t>SPG_ADV Technology</t>
  </si>
  <si>
    <t>Program Management</t>
  </si>
  <si>
    <t>alloc_PPL_ATG</t>
  </si>
  <si>
    <t>Architecture/Technical Lead</t>
  </si>
  <si>
    <t>GNPU - Model enablement/perf optimization</t>
  </si>
  <si>
    <t>Android VAS3.0 - Video</t>
  </si>
  <si>
    <t>Android VAS3.0 - Graphics/Display</t>
  </si>
  <si>
    <t>Android VAS3.0 - Security</t>
  </si>
  <si>
    <t>Android VAS3.0 - Android Framework</t>
  </si>
  <si>
    <t>Heterogeneous Compute Acceleration (CPU/GPU/GNPU)</t>
  </si>
  <si>
    <t>ROCm on Android/Virtualization</t>
  </si>
  <si>
    <t>FuSA consulting/support</t>
  </si>
  <si>
    <t>Validation QA + DevOps</t>
  </si>
  <si>
    <t>SPG_Platform_Linux</t>
  </si>
  <si>
    <t>Linux-PreSilicon/Bringup/Mesa/PM/SMI</t>
  </si>
  <si>
    <t>alloc_MLS_Linux_4</t>
  </si>
  <si>
    <t>alloc_MLS_Linux_3</t>
  </si>
  <si>
    <r>
      <t xml:space="preserve">Notes: BU - AECG
</t>
    </r>
    <r>
      <rPr>
        <b/>
        <sz val="20"/>
        <color theme="0"/>
        <rFont val="Calibri"/>
        <family val="2"/>
        <scheme val="minor"/>
      </rPr>
      <t>REFERENCE ONLY - DO NOT EDIT OR MAKE CHANGES TO THIS SIZING</t>
    </r>
  </si>
  <si>
    <t>Complete</t>
  </si>
  <si>
    <t>Global</t>
  </si>
  <si>
    <t>Linux Dev &amp; IQE/Virtualization/ROCm DOMU</t>
  </si>
  <si>
    <t>Cost ($M)</t>
  </si>
  <si>
    <t>Team</t>
  </si>
  <si>
    <t>Contact</t>
  </si>
  <si>
    <t>Scope / Function / Impact / Involvement</t>
  </si>
  <si>
    <t>Comments</t>
  </si>
  <si>
    <t>BROWSER VIEWING HAS BEEN DISABLED.  PLEASE OPEN IN EXCEL DESKTOP APP TO USE THIS FILE.
Click on the "Editing" button and select "Open in Desktop App"</t>
  </si>
  <si>
    <t>Instructions</t>
  </si>
  <si>
    <t>Step</t>
  </si>
  <si>
    <t>Description</t>
  </si>
  <si>
    <t>Illustrations / Pictorials</t>
  </si>
  <si>
    <t>In column D, look for your top-level teams in column D</t>
  </si>
  <si>
    <t>In column E, type in your specific function or team name in column E, as needed (or leave blank)</t>
  </si>
  <si>
    <t>In column G, select the HC type (Existing, FTE, Contractor) via drop down list.
Do not mix existing and new HC together, use separate rows
Add new rows as needed</t>
  </si>
  <si>
    <t>In columns H through AA, fill in the HC estimate by quarter</t>
  </si>
  <si>
    <t>Enter in scope deliverables, assumptions, risks in the Assumptions tab for your respective team(s)</t>
  </si>
  <si>
    <t>Look up Table for teams/leaders/category</t>
  </si>
  <si>
    <t>Lists for drop down menus</t>
  </si>
  <si>
    <t>CVP / Allocation Files drop down menus</t>
  </si>
  <si>
    <t>CVP / Top Level Teams drop down menus</t>
  </si>
  <si>
    <t>Top Level</t>
  </si>
  <si>
    <t>Options</t>
  </si>
  <si>
    <t>Labour Rate</t>
  </si>
  <si>
    <t>Note</t>
  </si>
  <si>
    <t>CVP</t>
  </si>
  <si>
    <t>Stephen</t>
  </si>
  <si>
    <t>Terry</t>
  </si>
  <si>
    <t>Jeffrey</t>
  </si>
  <si>
    <t>RodneyTeam</t>
  </si>
  <si>
    <t>ChrisTeam</t>
  </si>
  <si>
    <t>HugoTeam</t>
  </si>
  <si>
    <t>MatthiasTeam</t>
  </si>
  <si>
    <t>StephenTeam</t>
  </si>
  <si>
    <t>SyedTeam</t>
  </si>
  <si>
    <t>TerryTeam</t>
  </si>
  <si>
    <t>JeffreyTeam</t>
  </si>
  <si>
    <t>3D_Perf_Arch</t>
  </si>
  <si>
    <t>3DGFX</t>
  </si>
  <si>
    <t>choice 1</t>
  </si>
  <si>
    <t xml:space="preserve"> </t>
  </si>
  <si>
    <t>D3D</t>
  </si>
  <si>
    <t>choice 2</t>
  </si>
  <si>
    <t>Bulgaria</t>
  </si>
  <si>
    <t>Sizing is CLOSED.  This sheet is LOCKED and PROTECTED from editing.  NO CHANGES are permitted while locked.  Please contact Sam Huynh if you need to make any modifications.</t>
  </si>
  <si>
    <t>HYD Graphics CQE</t>
  </si>
  <si>
    <t>choice 3</t>
  </si>
  <si>
    <t>Greece</t>
  </si>
  <si>
    <t>Sizing is OPEN.  Please UPDATE your estimates for your teams in this sheet.  Also UPDATE the scope, assumptions and risks in the Assumptions tab.</t>
  </si>
  <si>
    <t>Khronos3D</t>
  </si>
  <si>
    <t>choice 4</t>
  </si>
  <si>
    <t>Brazil</t>
  </si>
  <si>
    <t>MS Project</t>
  </si>
  <si>
    <t>Sizing is EXTRACTED from MS Project Server and COPIED here.  NO CHANGES are permitted on this sheet.  Please update the resource allocation files and publish them, data will be updated daily.</t>
  </si>
  <si>
    <t>PAL</t>
  </si>
  <si>
    <t>choice 5</t>
  </si>
  <si>
    <t>Mexico</t>
  </si>
  <si>
    <t>Shader Compilers</t>
  </si>
  <si>
    <t>choice 6</t>
  </si>
  <si>
    <t>Argentina</t>
  </si>
  <si>
    <t>Shader Compilers – LLVM &amp; SC</t>
  </si>
  <si>
    <t>choice 7</t>
  </si>
  <si>
    <t>SPG_3D_Perf_Arch</t>
  </si>
  <si>
    <t>choice 8</t>
  </si>
  <si>
    <t>India Hyderabad</t>
  </si>
  <si>
    <t>SPG_3D_Tooling</t>
  </si>
  <si>
    <t>choice 9</t>
  </si>
  <si>
    <t>Australia</t>
  </si>
  <si>
    <t>SPG_D3D</t>
  </si>
  <si>
    <t>choice 10</t>
  </si>
  <si>
    <t>Japan</t>
  </si>
  <si>
    <t>SPG_HYD Graphics CQE</t>
  </si>
  <si>
    <t>SPG_Khronos3D</t>
  </si>
  <si>
    <t>Serbia</t>
  </si>
  <si>
    <t>SPG_Mac 3D</t>
  </si>
  <si>
    <t>France</t>
  </si>
  <si>
    <t>SPG_PAL</t>
  </si>
  <si>
    <t>Germany</t>
  </si>
  <si>
    <t>SPG_Shader Compilers</t>
  </si>
  <si>
    <t>Italy</t>
  </si>
  <si>
    <t>Sweden</t>
  </si>
  <si>
    <t>SPG_3D_ArchNPIPM</t>
  </si>
  <si>
    <t>UK</t>
  </si>
  <si>
    <t>SPG_3D_CQE</t>
  </si>
  <si>
    <t>Spain</t>
  </si>
  <si>
    <t>ADV Technology</t>
  </si>
  <si>
    <t>ATG</t>
  </si>
  <si>
    <t>Poland</t>
  </si>
  <si>
    <t>IPU Driver - Existing</t>
  </si>
  <si>
    <t>Netherlands</t>
  </si>
  <si>
    <t>IPU Validation</t>
  </si>
  <si>
    <t>India Bangalore</t>
  </si>
  <si>
    <t>Power/ Perf</t>
  </si>
  <si>
    <t>China Beijing and Shenzhen</t>
  </si>
  <si>
    <t>CSE_FirstPartner_CustEng</t>
  </si>
  <si>
    <t>CSE</t>
  </si>
  <si>
    <t>SPG_Customer Eng</t>
  </si>
  <si>
    <t>SPG_CSE_FirstPartner_CustEng</t>
  </si>
  <si>
    <t>SPG_CSE_FirstPartner_Customer Engineering</t>
  </si>
  <si>
    <t>SPG_CSE_FirstPartner_FAST</t>
  </si>
  <si>
    <t>SPG_Customer_Eng</t>
  </si>
  <si>
    <t>SPG_Mac Platform</t>
  </si>
  <si>
    <t>Display NPI</t>
  </si>
  <si>
    <t>Disp&amp;MM</t>
  </si>
  <si>
    <t>Display NTI</t>
  </si>
  <si>
    <t>MM Audio</t>
  </si>
  <si>
    <t>MM Video</t>
  </si>
  <si>
    <t>SPG_Display NTI</t>
  </si>
  <si>
    <t>SPG_Display NTI - VPE</t>
  </si>
  <si>
    <t>SPG_MM Video</t>
  </si>
  <si>
    <t>SPG_MM Video - UMSCH</t>
  </si>
  <si>
    <t>SPG_VPE &amp; DisplayNTI</t>
  </si>
  <si>
    <t>FWProgMgmt</t>
  </si>
  <si>
    <t>PFO</t>
  </si>
  <si>
    <t>GFX-CP</t>
  </si>
  <si>
    <t>GFX-RLC</t>
  </si>
  <si>
    <t>SMU</t>
  </si>
  <si>
    <t>SPG_Architecture and Sys IP</t>
  </si>
  <si>
    <t>SPG_GFX-CP</t>
  </si>
  <si>
    <t>SPG_GFX-RLC</t>
  </si>
  <si>
    <t>SPG_IPU Driver - Existing</t>
  </si>
  <si>
    <t>SPG_IPU Validation</t>
  </si>
  <si>
    <t>SPG_SMU</t>
  </si>
  <si>
    <t>SPG_VBIOS</t>
  </si>
  <si>
    <t>SPG_VBIOS VBL</t>
  </si>
  <si>
    <t>SPIO</t>
  </si>
  <si>
    <t>VBIOS</t>
  </si>
  <si>
    <t>SPG_Platform SW Arch</t>
  </si>
  <si>
    <t>Platform Security</t>
  </si>
  <si>
    <t>Platform_Linux</t>
  </si>
  <si>
    <t>PlatLinux</t>
  </si>
  <si>
    <t>KMD Solutions</t>
  </si>
  <si>
    <t>PlatWin</t>
  </si>
  <si>
    <t>KMD Test &amp; Tools</t>
  </si>
  <si>
    <t>PLAT Win: IQE/CQE</t>
  </si>
  <si>
    <t xml:space="preserve">PLAT Win: KMD Core </t>
  </si>
  <si>
    <t>PLAT Win: KMD Core MKM</t>
  </si>
  <si>
    <t>PLAT Win: KMD Core SRDC</t>
  </si>
  <si>
    <t xml:space="preserve">PLAT Win: KMD Solutions </t>
  </si>
  <si>
    <t>PLAT Win: KMD Solutions HYD</t>
  </si>
  <si>
    <t>PLAT Win: KMD Solutions MKM</t>
  </si>
  <si>
    <t>PLAT Win: MS Interface</t>
  </si>
  <si>
    <t>PLAT Win: PM/ SW TL / Arch</t>
  </si>
  <si>
    <t>PLAT Win: System &amp; Power</t>
  </si>
  <si>
    <t>Platform Windows</t>
  </si>
  <si>
    <t>SPG_Platform Windows</t>
  </si>
  <si>
    <t>Security</t>
  </si>
  <si>
    <t>SPG_SSE QA</t>
  </si>
  <si>
    <t>SQA</t>
  </si>
  <si>
    <t>SSE QA</t>
  </si>
  <si>
    <t>SPG_SSE Infrastructure</t>
  </si>
  <si>
    <t>SSE Infra</t>
  </si>
  <si>
    <t>SSE Infrastructure</t>
  </si>
  <si>
    <t>SPG_SSE RM</t>
  </si>
  <si>
    <t>SSE RM</t>
  </si>
  <si>
    <t>SPG_Operations</t>
  </si>
  <si>
    <t>SW Ops</t>
  </si>
  <si>
    <t>SW PM</t>
  </si>
  <si>
    <t>SW_ProgramManagers</t>
  </si>
  <si>
    <t>SPG_Roadmap Installer User Experience</t>
  </si>
  <si>
    <t>UX</t>
  </si>
  <si>
    <t>Platform Virtualization</t>
  </si>
  <si>
    <t>Virtualization</t>
  </si>
  <si>
    <t>SPG_Platform Virtualization</t>
  </si>
  <si>
    <t>Cost Factor</t>
  </si>
  <si>
    <t>M1</t>
  </si>
  <si>
    <t>M2</t>
  </si>
  <si>
    <t>M3</t>
  </si>
  <si>
    <t>Ramp Curve</t>
  </si>
  <si>
    <t>OMIT    - remove</t>
  </si>
  <si>
    <t xml:space="preserve">No PAVS Deliverables </t>
  </si>
  <si>
    <t>`- XGBE is leveraged from KRK, new PHY integration
- Eris is baseline for other components
- Fusa aspects not in scope / no impact to these components
- Leverage Eris MEM PHY with 48b + Single Row Support
- PCIE IDE support is new addition to Eris
- Minimal support (consultation only) after bringup (focus on Build Infrastructure, MEM and MPIO)</t>
  </si>
  <si>
    <t>Leverage Medusa, Eris, Grimlock, Krackan
- MPIO, MPDACC, OpenSIL, ESID, PFQ</t>
  </si>
  <si>
    <t>Content Security (WV/HDCP)</t>
  </si>
  <si>
    <t xml:space="preserve">Scope of Work (Linux Only):
1. Pre-Si + Post-Si baseline + DQE + CI
2. VPE based virtual HW plane 
(Dedicated VPE engine for virtual HW plane solution. Not support video processing (AT) use cases via VPE)
</t>
  </si>
  <si>
    <t xml:space="preserve">1. Virtual HW plane data path protection sizing is based on the proposed solution from DCN HW team. Need to rescope if the solution changes
</t>
  </si>
  <si>
    <t>Minor updates. Support for debug and bringup. Post SI support will be transitioned to BU at AFE.</t>
  </si>
  <si>
    <t>Feature set for Capitola is not currently known.  Sizing assumes significant deltas from Grimlock and Eris.  New RLC FW required and program validation support. 
Post SI support will be transitioned to BU at AFE.</t>
  </si>
  <si>
    <t>1. UBU /LibROM 
2. ART FW / ASP FW / Manufacturing FW 
3. Content Security: HDCP2.2 and WV</t>
  </si>
  <si>
    <t>For LibROM:
1. enabling of Eris / SEC3.5 features
2. If FIPS certification is required, embedded team will take over after AFE
For Security FW:
1. ART FW / UBU / ASP FW / Manufacturing  - enabling of exisiting features
2. No XSP
3. No change in HDCP feature comparing to previous/roadmap programs. No change in WV (WV will be based on amd vcn ip and not brighton, otherwise effort estimate will increase significantly)
4. PFO leads Content Protection (WV and HDCP) post-UU as it was done on KRK2e
5. FuSA and ASIL B by BU if any
6. The majority of the effort for UBU and LibROM is focused on the pre-silicon phase. There will be some follow-up work after bring-up, primarily for full validation of features at the SoC level, as well as potential ROM patches or LibROM overlay deliveries to address ROM issues or work around RTL-related issues.</t>
  </si>
  <si>
    <t>Existing FTE</t>
  </si>
  <si>
    <t>Mazen Salloum</t>
  </si>
  <si>
    <t>alloc_Display Solution_MazenS</t>
  </si>
  <si>
    <t xml:space="preserve">Michael Vasnetsov </t>
  </si>
  <si>
    <t>1. The sizing does not include FuSA certification effort with FuSA accessors such as TÜV, SGS as it's customer solution end-to-end based
2. For RAS features which will report stuck/hang/poison, the assumption is the system need to decide what corrective action is needed to recover the hang.  VPE/DCN just performs the reporting
3. Assumes work being done by KMD to enable the power optimized windows solution (Specifically: work for plumbing calls from DM/DC to enable work submission to VPE for queue/ctx mgmt, cmd submission, create fences, monitor fences)</t>
  </si>
  <si>
    <t>PreSI emulation</t>
  </si>
  <si>
    <t xml:space="preserve">NPI support(Linux Bringup (Silicon) with Base kernel)
</t>
  </si>
  <si>
    <t>- Mesa, OpenGL 4.6, OpenGL ES 3.2, Vulkan-1.4 (Baremetal issue debug)</t>
  </si>
  <si>
    <t xml:space="preserve">Scope of Work (Linux Only):
1. RAS Features:
. Virtual HW plane data path protection (based on the proposed solution from DCN HW team which need to be aligned with Embedded)
. Increase ROI / pipe from 2 to 4 for DisplayCRC feature
. Boot time display pipe stuck checking and reporting
. Display pipe hang detection and reporting
. Display data poison detection and reporting
2. DCN Linux kernel (within AMDGPU) and DCN FW for DCN RAS features are ASIL-B ready for certification (documentation, test coverage, coding standard)
3. (06/30) Added windows support leveraging common arch from linux with some delta work to power optimize video playback on windows </t>
  </si>
  <si>
    <t>VirtIO GPU emulation - Xen/QEMU/Virglrenderer DOM0  (Graphics - Windows)</t>
  </si>
  <si>
    <t>Display Virtualization (Windows)</t>
  </si>
  <si>
    <t>Graphics Virtualization - Guest Windows KMD</t>
  </si>
  <si>
    <t>Graphics Virtualization - Guest Windows UMD (Virgl)</t>
  </si>
  <si>
    <t>Graphics Virtualization - Guest Android (Issue Debugging Support)</t>
  </si>
  <si>
    <t>Linux Bringup  &amp; Pre-Si Emulation: 
- Pre-SI Emulation
- Pre-SI Linux Bringup
- Linux Bringup (Silicon) with Base kernel
Graphics API :
- Mesa, OpenGL 4.6, OpenGL ES 3.2, Vulkan-1.4 (Baremetal issue debug)
Kernel support: 
- Kernel Consultation support</t>
  </si>
  <si>
    <t>Graphics : 
- OpenGL SC is deprecated and is explicitly out of scope.
- There is no clarity from the program side on the VulkanSC requirement. No sizing has been done until we get the clarity.
Kernel : 
- Kernel related consultation.</t>
  </si>
  <si>
    <t>Does VulkanSC needs the GPU driver to be safety complaint ? 
Any new work w.r.t VulkanSC needs rescoping.</t>
  </si>
  <si>
    <t>Linux - KFD KGD ROCr/Thunk on Baremetal/PM/SMI/MM/BPI</t>
  </si>
  <si>
    <t>Linux Dev /Virtualization/ROCm DOMU/IQE</t>
  </si>
  <si>
    <t>ROCm Support: 
- ROCm bringup on APU
- ROCm Feats validation
- KFD validation
MM:
- H264 and HEVC(Encode, Decode and Transcode) issue debug support.
- NVE support
BPI : 
1. Build and Packaging
2. Separate Capitola branch creation.
3. Build script modifications if any.
Linux IQE
- Feature validation for ROCm/GFX/Display/MM/tools/Xen/ML Frameworks with Linux OS
- Weekly integration test
- Full cycle release test
Graphics Virtualization - Guest Linux
GPU recovery virtualization
VirtIO GPU emulation - Xen/QEMU/Virglrenderer DOM0 (Graphics)
VirtIO GPU emulation - Xen/QEMU/Virglrenderer DOM0 (Graphics - Windows)
Graphics Virtualization - Guest Windows UMD (Virgl)
Display Virtualization
Display Virtualization (Windows)
Graphics Virtualization - Guest Windows KMD
Compute Virtualization - Guest ROCm (virtio-gpu)
Compute Virtualization - Guest OpenCL (DOMU)
Compute Virtualization - Host KFD multiple context
Compute Virtualization - Guest HIP &amp; Mathlib &amp; Tools (DOMU)
VirtIO GPU emulation - Xen/QEMU/Virglrenderer DOM0 (Compute)
Cross functional team support/ Integrated Delivery Support
DRM render node for ROCm virtualization
Power Management Virtualization - Guest
Graphics Virtualization - Guest Android (Issue Debugging Support)
Linux - Solution Architect team</t>
  </si>
  <si>
    <t>ROCm Support: 
- Validate the ROCm FEATs like KFD test, rocr test, roc profiler, roc gdb, rocminfo, clinfo, rocmruntime, OCL, etc
MM: 
- Debug support is limited to H.264 and HEVC use cases, including Encode, Decode, and Transcode only.
- VCN5 does not support YUV422 Subsampling format. So we don’t support this.
- No new feature development is included as part of this scope.
- GStreamer-based development or support is explicitly out of scope.
- QT framework is out of scope.
Linux IQE
-Validation scope for ROCm stack is limited to KFD test/rocr test/rocprofiler/rocgdb/OCL
- ML framework scope limited to Pytorch, Ollama.cpp, llama.cpp, vllm, NO performance validation 
-FuSa related features are out of this sizing scope
-RAS validation is out of scope
Linux:
• Weston IVI is out of the scope.
• Multidisplay is not scoped.
• Dom0 and DomU should be in a display like Fairview Project. (One DOM0 + One DOMU in one single display). If requires more use cases, it need require CR.
• Virtual primary plane is not scoped.
• Functional safety (ASIL-B) for graphics driver and ROCm is not scoped.
• P2P is not in scope. APU doesn’t support the P2P feature, so some IPC features cannot be enabled either.
Windows:
• Graphics Virtualization(UMD) → This phase provides a DirectX-10–based, GPU-accelerated Windows 10 desktop only. DX12, Windows 11, Vulkan, and Windows VM multimedia are explicitly out of scope. 
• No power management on Windows DOMU
• Windows will not support vMPO/vPP, GPU timeout recovery.</t>
  </si>
  <si>
    <t>No ASIL-B or ASIL-D efforts are estimated till we get the clear picture of usage on the UMD/D4KMD or ROCm 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</si>
</sst>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4" formatCode="_(&quot;$&quot;* #,##0.00_);_(&quot;$&quot;* \(#,##0.00\);_(&quot;$&quot;* &quot;-&quot;??_);_(@_)"/>
    <numFmt numFmtId="43" formatCode="_(* #,##0.00_);_(* \(#,##0.00\);_(* &quot;-&quot;??_);_(@_)"/>
    <numFmt numFmtId="164" formatCode="_(* #,##0.0_);_(* \(#,##0.0\);_(* &quot;-&quot;??_);_(@_)"/>
    <numFmt numFmtId="165" formatCode="_(* #,##0_);_(* \(#,##0\);_(* &quot;-&quot;??_);_(@_)"/>
    <numFmt numFmtId="166" formatCode="[$-409]d\-mmm\-yy;@"/>
    <numFmt numFmtId="167" formatCode="_(&quot;$&quot;* #,##0_);_(&quot;$&quot;* \(#,##0\);_(&quot;$&quot;* &quot;-&quot;??_);_(@_)"/>
    <numFmt numFmtId="168" formatCode="_(0.##,,;_(* \(0.##,,\);_(* &quot;-&quot;_);_(@_)"/>
    <numFmt numFmtId="169" formatCode="0.000000000_);\(0.000000000\)"/>
    <numFmt numFmtId="170" formatCode="###,000"/>
    <numFmt numFmtId="171" formatCode="_(* 0.0_);_(* \(0.0\);_(* &quot;&quot;??_);_(@_)"/>
    <numFmt numFmtId="172" formatCode="_(0.00,,;_(* \(0.0,,\);_(* &quot;&quot;_);_(@_)"/>
    <numFmt numFmtId="173" formatCode="_(&quot;$&quot;* #,##0_);_(&quot;$&quot;* \(#,##0\);_(&quot;&quot;??_);_(@_)"/>
    <numFmt numFmtId="174" formatCode="_(&quot;$&quot;* 0.00,,\ &quot;M&quot;_);_(&quot;$&quot;* \(#,##0\);_(&quot;&quot;??_);_(@_)"/>
  </numFmts>
  <fonts count="59" x14ac:knownFonts="1">
    <font>
      <sz val="11"/>
      <color theme="1"/>
      <name val="Calibri"/>
      <family val="2"/>
      <scheme val="minor"/>
    </font>
    <font>
      <sz val="11"/>
      <color theme="1"/>
      <name val="Arial"/>
      <family val="2"/>
    </font>
    <font>
      <b/>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b/>
      <sz val="11"/>
      <color rgb="FFFF0000"/>
      <name val="Calibri"/>
      <family val="2"/>
      <scheme val="minor"/>
    </font>
    <font>
      <b/>
      <sz val="11"/>
      <color rgb="FF000000"/>
      <name val="Calibri"/>
      <family val="2"/>
    </font>
    <font>
      <b/>
      <sz val="11"/>
      <name val="Calibri"/>
      <family val="2"/>
    </font>
    <font>
      <sz val="11"/>
      <color rgb="FF000000"/>
      <name val="Calibri"/>
      <family val="2"/>
    </font>
    <font>
      <sz val="11"/>
      <name val="Calibri"/>
      <family val="2"/>
    </font>
    <font>
      <b/>
      <sz val="11"/>
      <color theme="0"/>
      <name val="Calibri"/>
      <family val="2"/>
      <scheme val="minor"/>
    </font>
    <font>
      <sz val="11"/>
      <color theme="0"/>
      <name val="Calibri"/>
      <family val="2"/>
      <scheme val="minor"/>
    </font>
    <font>
      <sz val="11"/>
      <color theme="1"/>
      <name val="Calibri"/>
      <family val="2"/>
      <scheme val="minor"/>
    </font>
    <font>
      <b/>
      <sz val="10"/>
      <name val="Calibri"/>
      <family val="2"/>
      <scheme val="minor"/>
    </font>
    <font>
      <b/>
      <sz val="11"/>
      <color theme="0"/>
      <name val="Calibri"/>
      <family val="2"/>
    </font>
    <font>
      <b/>
      <u/>
      <sz val="11"/>
      <color theme="1"/>
      <name val="Calibri"/>
      <family val="2"/>
      <scheme val="minor"/>
    </font>
    <font>
      <b/>
      <sz val="16"/>
      <color theme="0"/>
      <name val="Calibri"/>
      <family val="2"/>
      <scheme val="minor"/>
    </font>
    <font>
      <b/>
      <sz val="12"/>
      <color theme="0"/>
      <name val="Calibri"/>
      <family val="2"/>
      <scheme val="minor"/>
    </font>
    <font>
      <b/>
      <sz val="12"/>
      <color rgb="FFFFFF00"/>
      <name val="Calibri"/>
      <family val="2"/>
      <scheme val="minor"/>
    </font>
    <font>
      <sz val="12"/>
      <name val="Calibri"/>
      <family val="2"/>
      <scheme val="minor"/>
    </font>
    <font>
      <sz val="12"/>
      <color theme="1"/>
      <name val="Calibri"/>
      <family val="2"/>
      <scheme val="minor"/>
    </font>
    <font>
      <b/>
      <sz val="16"/>
      <color rgb="FFFF0000"/>
      <name val="Calibri"/>
      <family val="2"/>
      <scheme val="minor"/>
    </font>
    <font>
      <sz val="11"/>
      <color theme="1"/>
      <name val="Calibri"/>
      <family val="2"/>
    </font>
    <font>
      <strike/>
      <sz val="11"/>
      <color rgb="FF000000"/>
      <name val="Calibri"/>
      <family val="2"/>
    </font>
    <font>
      <strike/>
      <sz val="11"/>
      <color theme="1"/>
      <name val="Calibri"/>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sz val="8"/>
      <color theme="1"/>
      <name val="Verdana"/>
      <family val="2"/>
    </font>
    <font>
      <sz val="8"/>
      <color theme="1"/>
      <name val="Arial"/>
      <family val="2"/>
    </font>
    <font>
      <sz val="8"/>
      <color theme="1"/>
      <name val="Verdana"/>
      <family val="2"/>
    </font>
    <font>
      <b/>
      <i/>
      <sz val="8"/>
      <color theme="1"/>
      <name val="Verdana"/>
      <family val="2"/>
    </font>
    <font>
      <sz val="8"/>
      <color rgb="FFEAEAEA"/>
      <name val="Verdana"/>
      <family val="2"/>
    </font>
    <font>
      <sz val="10"/>
      <name val="Arial"/>
      <family val="2"/>
    </font>
    <font>
      <b/>
      <sz val="8"/>
      <color rgb="FF1F497D"/>
      <name val="Verdana"/>
      <family val="2"/>
    </font>
    <font>
      <sz val="8"/>
      <color rgb="FF1F497D"/>
      <name val="Verdana"/>
      <family val="2"/>
    </font>
    <font>
      <sz val="8"/>
      <color indexed="13"/>
      <name val="Arial"/>
      <family val="2"/>
    </font>
    <font>
      <b/>
      <sz val="12"/>
      <name val="Calibri"/>
      <family val="2"/>
      <scheme val="minor"/>
    </font>
    <font>
      <b/>
      <sz val="10"/>
      <color rgb="FFFF0000"/>
      <name val="Calibri"/>
      <family val="2"/>
      <scheme val="minor"/>
    </font>
    <font>
      <sz val="8"/>
      <name val="Calibri"/>
      <family val="2"/>
      <scheme val="minor"/>
    </font>
    <font>
      <b/>
      <sz val="11"/>
      <color rgb="FF000000"/>
      <name val="Calibri"/>
      <family val="2"/>
      <scheme val="minor"/>
    </font>
    <font>
      <sz val="11"/>
      <color rgb="FF000000"/>
      <name val="Calibri"/>
      <family val="2"/>
      <scheme val="minor"/>
    </font>
    <font>
      <strike/>
      <sz val="11"/>
      <color rgb="FF000000"/>
      <name val="Calibri"/>
      <family val="2"/>
      <scheme val="minor"/>
    </font>
    <font>
      <sz val="11"/>
      <color rgb="FF0000FF"/>
      <name val="Calibri"/>
      <family val="2"/>
      <scheme val="minor"/>
    </font>
    <font>
      <b/>
      <u/>
      <sz val="11"/>
      <color theme="0"/>
      <name val="Calibri"/>
      <family val="2"/>
      <scheme val="minor"/>
    </font>
    <font>
      <i/>
      <sz val="11"/>
      <color theme="0"/>
      <name val="Calibri"/>
      <family val="2"/>
      <scheme val="minor"/>
    </font>
    <font>
      <sz val="10"/>
      <name val="Calibri"/>
      <family val="2"/>
      <scheme val="minor"/>
    </font>
    <font>
      <b/>
      <sz val="11"/>
      <color rgb="FF000000"/>
      <name val="Calibri"/>
      <family val="2"/>
    </font>
    <font>
      <sz val="11"/>
      <name val="Calibri"/>
      <family val="2"/>
    </font>
    <font>
      <sz val="11"/>
      <color rgb="FF000000"/>
      <name val="Calibri"/>
      <family val="2"/>
    </font>
    <font>
      <sz val="11"/>
      <color theme="1"/>
      <name val="Calibri"/>
      <family val="2"/>
    </font>
    <font>
      <b/>
      <sz val="20"/>
      <color theme="0"/>
      <name val="Calibri"/>
      <family val="2"/>
      <scheme val="minor"/>
    </font>
    <font>
      <sz val="11"/>
      <name val="Calibri"/>
    </font>
  </fonts>
  <fills count="29">
    <fill>
      <patternFill patternType="none"/>
    </fill>
    <fill>
      <patternFill patternType="gray125"/>
    </fill>
    <fill>
      <patternFill patternType="solid">
        <fgColor rgb="FFD6DCE4"/>
        <bgColor indexed="64"/>
      </patternFill>
    </fill>
    <fill>
      <patternFill patternType="solid">
        <fgColor theme="0"/>
        <bgColor indexed="64"/>
      </patternFill>
    </fill>
    <fill>
      <patternFill patternType="solid">
        <fgColor theme="3"/>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theme="9" tint="-0.499984740745262"/>
        <bgColor indexed="64"/>
      </patternFill>
    </fill>
    <fill>
      <patternFill patternType="solid">
        <fgColor theme="1"/>
        <bgColor indexed="64"/>
      </patternFill>
    </fill>
    <fill>
      <patternFill patternType="solid">
        <fgColor rgb="FF7030A0"/>
        <bgColor indexed="64"/>
      </patternFill>
    </fill>
    <fill>
      <patternFill patternType="solid">
        <fgColor rgb="FFFFFFFF"/>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EAEAEA"/>
        <bgColor rgb="FF000000"/>
      </patternFill>
    </fill>
    <fill>
      <patternFill patternType="solid">
        <fgColor rgb="FFF8F8F8"/>
        <bgColor rgb="FF000000"/>
      </patternFill>
    </fill>
    <fill>
      <patternFill patternType="solid">
        <fgColor rgb="FFFFFFFF"/>
        <bgColor rgb="FFFFFFFF"/>
      </patternFill>
    </fill>
    <fill>
      <patternFill patternType="solid">
        <fgColor rgb="FFEAEAEA"/>
        <bgColor rgb="FFFFFFFF"/>
      </patternFill>
    </fill>
    <fill>
      <patternFill patternType="solid">
        <fgColor rgb="FFDBE5F1"/>
        <bgColor rgb="FF000000"/>
      </patternFill>
    </fill>
    <fill>
      <patternFill patternType="solid">
        <fgColor rgb="FFDBE5F1"/>
        <bgColor rgb="FFFFFFFF"/>
      </patternFill>
    </fill>
    <fill>
      <patternFill patternType="solid">
        <fgColor indexed="8"/>
        <bgColor indexed="64"/>
      </patternFill>
    </fill>
    <fill>
      <patternFill patternType="solid">
        <fgColor rgb="FFFFFFFF"/>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right/>
      <top/>
      <bottom style="medium">
        <color indexed="64"/>
      </bottom>
      <diagonal/>
    </border>
    <border>
      <left/>
      <right/>
      <top style="thin">
        <color auto="1"/>
      </top>
      <bottom style="thin">
        <color auto="1"/>
      </bottom>
      <diagonal/>
    </border>
    <border>
      <left/>
      <right/>
      <top style="medium">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style="thin">
        <color indexed="64"/>
      </left>
      <right/>
      <top style="thin">
        <color indexed="64"/>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medium">
        <color rgb="FFFF0000"/>
      </left>
      <right style="medium">
        <color rgb="FFFF0000"/>
      </right>
      <top style="medium">
        <color rgb="FFFF0000"/>
      </top>
      <bottom style="medium">
        <color rgb="FFFF000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s>
  <cellStyleXfs count="67">
    <xf numFmtId="0" fontId="0" fillId="0" borderId="0"/>
    <xf numFmtId="0" fontId="3" fillId="0" borderId="0" applyNumberForma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34" fillId="11" borderId="22" applyNumberFormat="0" applyAlignment="0" applyProtection="0">
      <alignment horizontal="left" vertical="center" indent="1"/>
    </xf>
    <xf numFmtId="170" fontId="36" fillId="0" borderId="26" applyNumberFormat="0" applyProtection="0">
      <alignment horizontal="right" vertical="center"/>
    </xf>
    <xf numFmtId="170" fontId="34" fillId="0" borderId="26" applyNumberFormat="0" applyProtection="0">
      <alignment horizontal="right" vertical="center"/>
    </xf>
    <xf numFmtId="170" fontId="36" fillId="23" borderId="22" applyNumberFormat="0" applyAlignment="0" applyProtection="0">
      <alignment horizontal="left" vertical="center" indent="1"/>
    </xf>
    <xf numFmtId="0" fontId="26" fillId="11" borderId="23" applyNumberFormat="0" applyAlignment="0">
      <alignment horizontal="left" vertical="center" indent="1"/>
      <protection locked="0"/>
    </xf>
    <xf numFmtId="0" fontId="26" fillId="21" borderId="23" applyNumberFormat="0" applyAlignment="0" applyProtection="0">
      <alignment horizontal="left" vertical="center" indent="1"/>
    </xf>
    <xf numFmtId="0" fontId="26" fillId="22" borderId="23" applyNumberFormat="0" applyAlignment="0">
      <alignment horizontal="left" vertical="center" indent="1"/>
      <protection locked="0"/>
    </xf>
    <xf numFmtId="0" fontId="26" fillId="11" borderId="23" applyNumberFormat="0" applyAlignment="0">
      <alignment horizontal="left" vertical="center" indent="1"/>
      <protection locked="0"/>
    </xf>
    <xf numFmtId="170" fontId="34" fillId="21" borderId="26" applyNumberFormat="0" applyProtection="0">
      <alignment horizontal="right" vertical="center"/>
    </xf>
    <xf numFmtId="170" fontId="34" fillId="22" borderId="26" applyNumberFormat="0">
      <alignment horizontal="right" vertical="center"/>
      <protection locked="0"/>
    </xf>
    <xf numFmtId="170" fontId="27" fillId="14" borderId="24" applyNumberFormat="0" applyBorder="0" applyAlignment="0" applyProtection="0">
      <alignment horizontal="right" vertical="center" indent="1"/>
    </xf>
    <xf numFmtId="170" fontId="28" fillId="13" borderId="24" applyNumberFormat="0" applyBorder="0" applyAlignment="0" applyProtection="0">
      <alignment horizontal="right" vertical="center" indent="1"/>
    </xf>
    <xf numFmtId="170" fontId="28" fillId="12" borderId="24" applyNumberFormat="0" applyBorder="0" applyAlignment="0" applyProtection="0">
      <alignment horizontal="right" vertical="center" indent="1"/>
    </xf>
    <xf numFmtId="170" fontId="29" fillId="15" borderId="24" applyNumberFormat="0" applyBorder="0" applyAlignment="0" applyProtection="0">
      <alignment horizontal="right" vertical="center" indent="1"/>
    </xf>
    <xf numFmtId="170" fontId="29" fillId="16" borderId="24" applyNumberFormat="0" applyBorder="0" applyAlignment="0" applyProtection="0">
      <alignment horizontal="right" vertical="center" indent="1"/>
    </xf>
    <xf numFmtId="170" fontId="29" fillId="17" borderId="24" applyNumberFormat="0" applyBorder="0" applyAlignment="0" applyProtection="0">
      <alignment horizontal="right" vertical="center" indent="1"/>
    </xf>
    <xf numFmtId="170" fontId="30" fillId="18" borderId="24" applyNumberFormat="0" applyBorder="0" applyAlignment="0" applyProtection="0">
      <alignment horizontal="right" vertical="center" indent="1"/>
    </xf>
    <xf numFmtId="170" fontId="30" fillId="19" borderId="24" applyNumberFormat="0" applyBorder="0" applyAlignment="0" applyProtection="0">
      <alignment horizontal="right" vertical="center" indent="1"/>
    </xf>
    <xf numFmtId="170" fontId="30" fillId="20" borderId="24" applyNumberFormat="0" applyBorder="0" applyAlignment="0" applyProtection="0">
      <alignment horizontal="right" vertical="center" indent="1"/>
    </xf>
    <xf numFmtId="0" fontId="35" fillId="0" borderId="2" applyNumberFormat="0" applyFont="0" applyFill="0" applyAlignment="0" applyProtection="0"/>
    <xf numFmtId="170" fontId="38" fillId="24" borderId="0" applyNumberFormat="0" applyAlignment="0" applyProtection="0">
      <alignment horizontal="left" vertical="center" indent="1"/>
    </xf>
    <xf numFmtId="0" fontId="31" fillId="0" borderId="25" applyNumberFormat="0" applyFont="0" applyFill="0" applyAlignment="0" applyProtection="0"/>
    <xf numFmtId="170" fontId="36" fillId="0" borderId="26" applyNumberFormat="0" applyFill="0" applyBorder="0" applyAlignment="0" applyProtection="0">
      <alignment horizontal="right" vertical="center"/>
    </xf>
    <xf numFmtId="170" fontId="36" fillId="23" borderId="22" applyNumberFormat="0" applyAlignment="0" applyProtection="0">
      <alignment horizontal="left" vertical="center" indent="1"/>
    </xf>
    <xf numFmtId="0" fontId="34" fillId="11" borderId="23" applyNumberFormat="0" applyAlignment="0" applyProtection="0">
      <alignment horizontal="left" vertical="center" indent="1"/>
    </xf>
    <xf numFmtId="0" fontId="32" fillId="0" borderId="2" applyNumberFormat="0" applyFill="0" applyBorder="0" applyAlignment="0" applyProtection="0"/>
    <xf numFmtId="0" fontId="33" fillId="0" borderId="2" applyNumberFormat="0" applyBorder="0" applyAlignment="0" applyProtection="0"/>
    <xf numFmtId="0" fontId="32" fillId="11" borderId="23" applyNumberFormat="0" applyAlignment="0">
      <alignment horizontal="left" vertical="center" indent="1"/>
      <protection locked="0"/>
    </xf>
    <xf numFmtId="0" fontId="32" fillId="11" borderId="23" applyNumberFormat="0" applyAlignment="0">
      <alignment horizontal="left" vertical="center" indent="1"/>
      <protection locked="0"/>
    </xf>
    <xf numFmtId="0" fontId="32" fillId="21" borderId="23" applyNumberFormat="0" applyAlignment="0" applyProtection="0">
      <alignment horizontal="left" vertical="center" indent="1"/>
    </xf>
    <xf numFmtId="170" fontId="37" fillId="21" borderId="26" applyNumberFormat="0" applyProtection="0">
      <alignment horizontal="right" vertical="center"/>
    </xf>
    <xf numFmtId="0" fontId="32" fillId="22" borderId="23" applyNumberFormat="0" applyAlignment="0">
      <alignment horizontal="left" vertical="center" indent="1"/>
      <protection locked="0"/>
    </xf>
    <xf numFmtId="170" fontId="37" fillId="22" borderId="26" applyNumberFormat="0">
      <alignment horizontal="right" vertical="center"/>
      <protection locked="0"/>
    </xf>
    <xf numFmtId="170" fontId="36" fillId="0" borderId="26" applyNumberFormat="0" applyFill="0" applyBorder="0" applyAlignment="0" applyProtection="0">
      <alignment horizontal="right" vertical="center"/>
    </xf>
    <xf numFmtId="0" fontId="26" fillId="11" borderId="23" applyNumberFormat="0" applyAlignment="0" applyProtection="0">
      <alignment horizontal="left" vertical="center" indent="1"/>
    </xf>
    <xf numFmtId="0" fontId="26" fillId="21" borderId="23" applyNumberFormat="0" applyAlignment="0" applyProtection="0">
      <alignment horizontal="left" vertical="center" indent="1"/>
    </xf>
    <xf numFmtId="43" fontId="1" fillId="0" borderId="0" applyFont="0" applyFill="0" applyBorder="0" applyAlignment="0" applyProtection="0"/>
    <xf numFmtId="0" fontId="39" fillId="0" borderId="0"/>
    <xf numFmtId="0" fontId="13" fillId="0" borderId="0"/>
    <xf numFmtId="0" fontId="13" fillId="0" borderId="0"/>
    <xf numFmtId="0" fontId="1" fillId="0" borderId="0"/>
    <xf numFmtId="0" fontId="13" fillId="0" borderId="0"/>
    <xf numFmtId="44" fontId="13" fillId="0" borderId="0" applyFont="0" applyFill="0" applyBorder="0" applyAlignment="0" applyProtection="0"/>
    <xf numFmtId="44" fontId="39" fillId="0" borderId="0" applyFont="0" applyFill="0" applyBorder="0" applyAlignment="0" applyProtection="0"/>
    <xf numFmtId="0" fontId="40" fillId="25" borderId="22" applyNumberFormat="0" applyAlignment="0" applyProtection="0">
      <alignment horizontal="left" vertical="center" indent="1"/>
    </xf>
    <xf numFmtId="170" fontId="41" fillId="26" borderId="22" applyNumberFormat="0" applyAlignment="0" applyProtection="0">
      <alignment horizontal="left" vertical="center" indent="1"/>
    </xf>
    <xf numFmtId="170" fontId="41" fillId="0" borderId="27" applyNumberFormat="0" applyProtection="0">
      <alignment horizontal="right" vertical="center"/>
    </xf>
    <xf numFmtId="0" fontId="40" fillId="25" borderId="23" applyNumberFormat="0" applyAlignment="0" applyProtection="0">
      <alignment horizontal="left" vertical="center" indent="1"/>
    </xf>
    <xf numFmtId="170" fontId="40" fillId="0" borderId="23" applyNumberFormat="0" applyProtection="0">
      <alignment horizontal="right" vertical="center"/>
    </xf>
    <xf numFmtId="0" fontId="39" fillId="0" borderId="0"/>
    <xf numFmtId="44" fontId="13"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0" fontId="39" fillId="0" borderId="0"/>
    <xf numFmtId="43" fontId="39" fillId="0" borderId="0" applyFont="0" applyFill="0" applyBorder="0" applyAlignment="0" applyProtection="0"/>
    <xf numFmtId="43" fontId="39" fillId="0" borderId="0" applyFont="0" applyFill="0" applyBorder="0" applyAlignment="0" applyProtection="0"/>
    <xf numFmtId="0" fontId="13" fillId="0" borderId="0"/>
    <xf numFmtId="0" fontId="42" fillId="27" borderId="1" applyNumberFormat="0" applyProtection="0">
      <alignment horizontal="left" vertical="center"/>
    </xf>
    <xf numFmtId="0" fontId="13" fillId="0" borderId="0"/>
    <xf numFmtId="0" fontId="42" fillId="27" borderId="1" applyNumberFormat="0" applyProtection="0">
      <alignment horizontal="left" vertical="center"/>
    </xf>
    <xf numFmtId="0" fontId="13" fillId="0" borderId="0"/>
  </cellStyleXfs>
  <cellXfs count="245">
    <xf numFmtId="0" fontId="0" fillId="0" borderId="0" xfId="0"/>
    <xf numFmtId="0" fontId="0" fillId="0" borderId="0" xfId="0" applyAlignment="1">
      <alignment horizontal="center" vertical="center"/>
    </xf>
    <xf numFmtId="0" fontId="0" fillId="0" borderId="0" xfId="0" applyAlignment="1">
      <alignment wrapText="1"/>
    </xf>
    <xf numFmtId="0" fontId="2" fillId="0" borderId="1" xfId="0" applyFont="1" applyBorder="1"/>
    <xf numFmtId="0" fontId="0" fillId="0" borderId="0" xfId="0" applyAlignment="1">
      <alignment horizontal="center"/>
    </xf>
    <xf numFmtId="0" fontId="0" fillId="0" borderId="1" xfId="0" applyBorder="1" applyAlignment="1">
      <alignment vertical="center"/>
    </xf>
    <xf numFmtId="0" fontId="2" fillId="0" borderId="0" xfId="0" applyFont="1" applyAlignment="1">
      <alignment horizontal="left"/>
    </xf>
    <xf numFmtId="0" fontId="5" fillId="0" borderId="0" xfId="0" applyFont="1" applyAlignment="1">
      <alignment horizontal="left" vertical="center"/>
    </xf>
    <xf numFmtId="0" fontId="2" fillId="0" borderId="1" xfId="0" applyFont="1" applyBorder="1" applyAlignment="1">
      <alignment horizontal="center"/>
    </xf>
    <xf numFmtId="0" fontId="0" fillId="0" borderId="1" xfId="0" applyBorder="1" applyAlignment="1">
      <alignment horizontal="center" vertical="center"/>
    </xf>
    <xf numFmtId="0" fontId="2" fillId="0" borderId="1" xfId="0" applyFont="1" applyBorder="1" applyAlignment="1">
      <alignment wrapText="1"/>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vertical="center"/>
    </xf>
    <xf numFmtId="0" fontId="0" fillId="0" borderId="0" xfId="0" applyAlignment="1">
      <alignment horizontal="left" vertical="top" wrapText="1"/>
    </xf>
    <xf numFmtId="0" fontId="0" fillId="0" borderId="1" xfId="0" applyBorder="1" applyAlignment="1">
      <alignment horizontal="left" vertical="top" wrapText="1"/>
    </xf>
    <xf numFmtId="0" fontId="10" fillId="0" borderId="1" xfId="0" applyFont="1" applyBorder="1" applyAlignment="1">
      <alignment horizontal="left" vertical="top" wrapText="1"/>
    </xf>
    <xf numFmtId="0" fontId="7" fillId="2" borderId="12" xfId="0" applyFont="1" applyFill="1" applyBorder="1" applyAlignment="1">
      <alignment horizontal="left" vertical="top" wrapText="1"/>
    </xf>
    <xf numFmtId="0" fontId="7" fillId="2" borderId="13" xfId="0" applyFont="1" applyFill="1" applyBorder="1" applyAlignment="1">
      <alignment horizontal="left" vertical="top" wrapText="1"/>
    </xf>
    <xf numFmtId="0" fontId="7" fillId="2" borderId="14" xfId="0" applyFont="1" applyFill="1" applyBorder="1" applyAlignment="1">
      <alignment horizontal="left" vertical="top" wrapText="1"/>
    </xf>
    <xf numFmtId="0" fontId="3" fillId="0" borderId="0" xfId="1" applyFill="1" applyBorder="1" applyAlignment="1" applyProtection="1">
      <alignment vertical="center" wrapText="1"/>
    </xf>
    <xf numFmtId="165" fontId="0" fillId="0" borderId="0" xfId="2" applyNumberFormat="1" applyFont="1" applyFill="1" applyBorder="1" applyAlignment="1" applyProtection="1">
      <alignment vertical="center"/>
    </xf>
    <xf numFmtId="0" fontId="5" fillId="0" borderId="1" xfId="0" applyFont="1" applyBorder="1" applyAlignment="1">
      <alignment horizontal="left" vertical="top" wrapText="1"/>
    </xf>
    <xf numFmtId="0" fontId="22" fillId="3" borderId="0" xfId="0" applyFont="1" applyFill="1" applyAlignment="1" applyProtection="1">
      <alignment vertical="top"/>
      <protection locked="0"/>
    </xf>
    <xf numFmtId="0" fontId="0" fillId="3" borderId="0" xfId="0" applyFill="1" applyProtection="1">
      <protection locked="0"/>
    </xf>
    <xf numFmtId="0" fontId="2" fillId="3" borderId="0" xfId="0" applyFont="1" applyFill="1" applyAlignment="1" applyProtection="1">
      <alignment horizontal="left"/>
      <protection locked="0"/>
    </xf>
    <xf numFmtId="0" fontId="0" fillId="3" borderId="0" xfId="0" applyFill="1" applyAlignment="1" applyProtection="1">
      <alignment wrapText="1"/>
      <protection locked="0"/>
    </xf>
    <xf numFmtId="0" fontId="0" fillId="3" borderId="0" xfId="0" applyFill="1" applyAlignment="1" applyProtection="1">
      <alignment horizontal="center" vertical="center"/>
      <protection locked="0"/>
    </xf>
    <xf numFmtId="0" fontId="0" fillId="3" borderId="0" xfId="0" applyFill="1" applyAlignment="1" applyProtection="1">
      <alignment vertical="center" wrapText="1"/>
      <protection locked="0"/>
    </xf>
    <xf numFmtId="0" fontId="0" fillId="3" borderId="0" xfId="0" applyFill="1" applyAlignment="1" applyProtection="1">
      <alignment vertical="center"/>
      <protection locked="0"/>
    </xf>
    <xf numFmtId="0" fontId="0" fillId="3" borderId="0" xfId="0" applyFill="1" applyAlignment="1" applyProtection="1">
      <alignment horizontal="center"/>
      <protection locked="0"/>
    </xf>
    <xf numFmtId="0" fontId="5" fillId="0" borderId="1" xfId="0" quotePrefix="1" applyFont="1" applyBorder="1" applyAlignment="1">
      <alignment horizontal="left" vertical="top" wrapText="1"/>
    </xf>
    <xf numFmtId="0" fontId="10" fillId="0" borderId="1" xfId="0" quotePrefix="1" applyFont="1" applyBorder="1" applyAlignment="1">
      <alignment horizontal="left" vertical="top" wrapText="1"/>
    </xf>
    <xf numFmtId="0" fontId="10" fillId="0" borderId="1" xfId="0" applyFont="1" applyBorder="1" applyAlignment="1">
      <alignment vertical="top" wrapText="1"/>
    </xf>
    <xf numFmtId="0" fontId="5" fillId="0" borderId="1" xfId="0" applyFont="1" applyBorder="1" applyAlignment="1">
      <alignment horizontal="left" vertical="top"/>
    </xf>
    <xf numFmtId="0" fontId="5" fillId="0" borderId="1" xfId="0" applyFont="1" applyBorder="1" applyAlignment="1" applyProtection="1">
      <alignment horizontal="left" vertical="top"/>
      <protection locked="0"/>
    </xf>
    <xf numFmtId="0" fontId="2" fillId="0" borderId="0" xfId="0" applyFont="1"/>
    <xf numFmtId="0" fontId="19" fillId="4" borderId="7" xfId="0" applyFont="1" applyFill="1" applyBorder="1"/>
    <xf numFmtId="0" fontId="20" fillId="4" borderId="7" xfId="0" applyFont="1" applyFill="1" applyBorder="1"/>
    <xf numFmtId="0" fontId="21" fillId="4" borderId="7" xfId="0" applyFont="1" applyFill="1" applyBorder="1"/>
    <xf numFmtId="0" fontId="4" fillId="0" borderId="0" xfId="0" applyFont="1" applyAlignment="1">
      <alignment vertical="center"/>
    </xf>
    <xf numFmtId="0" fontId="14" fillId="3" borderId="10" xfId="0" applyFont="1" applyFill="1" applyBorder="1" applyAlignment="1">
      <alignment horizontal="center" vertical="center" wrapText="1"/>
    </xf>
    <xf numFmtId="0" fontId="15" fillId="5" borderId="1" xfId="0" applyFont="1" applyFill="1" applyBorder="1" applyAlignment="1">
      <alignment vertical="top"/>
    </xf>
    <xf numFmtId="0" fontId="15" fillId="5" borderId="1" xfId="0" applyFont="1" applyFill="1" applyBorder="1" applyAlignment="1">
      <alignment vertical="top" wrapText="1"/>
    </xf>
    <xf numFmtId="16" fontId="15" fillId="5" borderId="1" xfId="0" quotePrefix="1" applyNumberFormat="1" applyFont="1" applyFill="1" applyBorder="1" applyAlignment="1">
      <alignment horizontal="center" vertical="top"/>
    </xf>
    <xf numFmtId="0" fontId="15" fillId="5" borderId="1" xfId="0" applyFont="1" applyFill="1" applyBorder="1" applyAlignment="1">
      <alignment horizontal="center" vertical="top" wrapText="1"/>
    </xf>
    <xf numFmtId="0" fontId="15" fillId="5" borderId="4" xfId="0" applyFont="1" applyFill="1" applyBorder="1" applyAlignment="1">
      <alignment horizontal="center" vertical="top" wrapText="1"/>
    </xf>
    <xf numFmtId="0" fontId="15" fillId="5" borderId="11" xfId="0" applyFont="1" applyFill="1" applyBorder="1" applyAlignment="1">
      <alignment horizontal="center" vertical="top" wrapText="1"/>
    </xf>
    <xf numFmtId="0" fontId="8" fillId="0" borderId="0" xfId="0" applyFont="1" applyAlignment="1">
      <alignment horizontal="center" vertical="top" wrapText="1"/>
    </xf>
    <xf numFmtId="0" fontId="5" fillId="0" borderId="1" xfId="0" applyFont="1" applyBorder="1" applyAlignment="1">
      <alignment horizontal="left" vertical="center"/>
    </xf>
    <xf numFmtId="0" fontId="0" fillId="0" borderId="11" xfId="0" applyBorder="1"/>
    <xf numFmtId="0" fontId="0" fillId="0" borderId="1" xfId="0" applyBorder="1" applyAlignment="1">
      <alignment horizontal="center"/>
    </xf>
    <xf numFmtId="165" fontId="0" fillId="0" borderId="0" xfId="0" applyNumberFormat="1" applyAlignment="1">
      <alignment vertical="center"/>
    </xf>
    <xf numFmtId="0" fontId="5" fillId="6" borderId="5" xfId="0" applyFont="1" applyFill="1" applyBorder="1"/>
    <xf numFmtId="0" fontId="5" fillId="3" borderId="1" xfId="0" applyFont="1" applyFill="1" applyBorder="1"/>
    <xf numFmtId="0" fontId="0" fillId="3" borderId="1" xfId="0" applyFill="1" applyBorder="1"/>
    <xf numFmtId="0" fontId="5" fillId="3" borderId="1" xfId="0" applyFont="1" applyFill="1" applyBorder="1" applyAlignment="1">
      <alignment horizontal="left" vertical="center"/>
    </xf>
    <xf numFmtId="0" fontId="5" fillId="9" borderId="5" xfId="0" applyFont="1" applyFill="1" applyBorder="1"/>
    <xf numFmtId="0" fontId="0" fillId="9" borderId="11" xfId="0" applyFill="1" applyBorder="1"/>
    <xf numFmtId="0" fontId="0" fillId="9" borderId="4" xfId="0" applyFill="1" applyBorder="1" applyAlignment="1">
      <alignment horizontal="center"/>
    </xf>
    <xf numFmtId="0" fontId="15" fillId="7" borderId="1" xfId="0" applyFont="1" applyFill="1" applyBorder="1" applyAlignment="1">
      <alignment vertical="center" wrapText="1"/>
    </xf>
    <xf numFmtId="165" fontId="4" fillId="0" borderId="0" xfId="0" applyNumberFormat="1" applyFont="1" applyAlignment="1">
      <alignment vertical="center"/>
    </xf>
    <xf numFmtId="0" fontId="4" fillId="0" borderId="0" xfId="0" applyFont="1"/>
    <xf numFmtId="0" fontId="15" fillId="8" borderId="1" xfId="0" applyFont="1" applyFill="1" applyBorder="1" applyAlignment="1">
      <alignment vertical="center" wrapText="1"/>
    </xf>
    <xf numFmtId="0" fontId="0" fillId="0" borderId="0" xfId="0" applyAlignment="1">
      <alignment horizontal="left" vertical="center"/>
    </xf>
    <xf numFmtId="1" fontId="0" fillId="0" borderId="0" xfId="0" applyNumberFormat="1"/>
    <xf numFmtId="0" fontId="5" fillId="0" borderId="0" xfId="0" applyFont="1"/>
    <xf numFmtId="0" fontId="12" fillId="10" borderId="1" xfId="0" applyFont="1" applyFill="1" applyBorder="1"/>
    <xf numFmtId="0" fontId="0" fillId="0" borderId="1" xfId="0" applyBorder="1" applyAlignment="1">
      <alignment horizontal="left" vertical="center"/>
    </xf>
    <xf numFmtId="0" fontId="0" fillId="0" borderId="1" xfId="0" applyBorder="1"/>
    <xf numFmtId="0" fontId="5" fillId="0" borderId="0" xfId="0" applyFont="1" applyAlignment="1">
      <alignment vertical="center"/>
    </xf>
    <xf numFmtId="43" fontId="5" fillId="0" borderId="0" xfId="2" applyFont="1" applyBorder="1" applyAlignment="1">
      <alignment vertical="center"/>
    </xf>
    <xf numFmtId="167" fontId="0" fillId="0" borderId="0" xfId="3" applyNumberFormat="1" applyFont="1"/>
    <xf numFmtId="0" fontId="10" fillId="0" borderId="1" xfId="0" applyFont="1" applyBorder="1" applyAlignment="1">
      <alignment horizontal="left" vertical="top"/>
    </xf>
    <xf numFmtId="0" fontId="0" fillId="0" borderId="17" xfId="0" applyBorder="1" applyAlignment="1">
      <alignment horizontal="left" vertical="top"/>
    </xf>
    <xf numFmtId="0" fontId="7" fillId="0" borderId="0" xfId="0" applyFont="1" applyAlignment="1">
      <alignment horizontal="center" vertical="center" wrapText="1"/>
    </xf>
    <xf numFmtId="0" fontId="9" fillId="0" borderId="0" xfId="0" applyFont="1" applyAlignment="1">
      <alignment vertical="center" wrapText="1"/>
    </xf>
    <xf numFmtId="0" fontId="24" fillId="0" borderId="0" xfId="0" applyFont="1" applyAlignment="1">
      <alignment vertical="center" wrapText="1"/>
    </xf>
    <xf numFmtId="0" fontId="23" fillId="0" borderId="0" xfId="0" applyFont="1" applyAlignment="1">
      <alignment vertical="center" wrapText="1"/>
    </xf>
    <xf numFmtId="0" fontId="25" fillId="0" borderId="0" xfId="0" applyFont="1" applyAlignment="1">
      <alignment vertical="center" wrapText="1"/>
    </xf>
    <xf numFmtId="0" fontId="2" fillId="0" borderId="1" xfId="0" applyFont="1" applyBorder="1" applyAlignment="1">
      <alignment horizontal="left" vertical="center"/>
    </xf>
    <xf numFmtId="0" fontId="8" fillId="0" borderId="1" xfId="0" applyFont="1" applyBorder="1" applyAlignment="1">
      <alignment horizontal="center" vertical="center"/>
    </xf>
    <xf numFmtId="1" fontId="0" fillId="0" borderId="1" xfId="4" applyNumberFormat="1" applyFont="1" applyBorder="1" applyAlignment="1">
      <alignment horizontal="center"/>
    </xf>
    <xf numFmtId="0" fontId="4" fillId="0" borderId="1" xfId="0" applyFont="1" applyBorder="1" applyAlignment="1">
      <alignment horizontal="center" vertical="center"/>
    </xf>
    <xf numFmtId="43" fontId="5" fillId="0" borderId="1" xfId="2" applyFont="1" applyBorder="1" applyAlignment="1">
      <alignment horizontal="center" vertical="center"/>
    </xf>
    <xf numFmtId="0" fontId="0" fillId="0" borderId="1" xfId="0" applyBorder="1" applyAlignment="1">
      <alignment horizontal="left" vertical="center" wrapText="1"/>
    </xf>
    <xf numFmtId="0" fontId="15" fillId="10" borderId="1" xfId="0" applyFont="1" applyFill="1" applyBorder="1" applyAlignment="1">
      <alignment vertical="center"/>
    </xf>
    <xf numFmtId="1" fontId="10" fillId="0" borderId="1" xfId="4" applyNumberFormat="1" applyFont="1" applyBorder="1" applyAlignment="1">
      <alignment horizontal="center" vertical="center"/>
    </xf>
    <xf numFmtId="0" fontId="10" fillId="3" borderId="1" xfId="0" applyFont="1" applyFill="1" applyBorder="1" applyAlignment="1">
      <alignment vertical="center"/>
    </xf>
    <xf numFmtId="168" fontId="0" fillId="0" borderId="0" xfId="0" applyNumberFormat="1"/>
    <xf numFmtId="168" fontId="0" fillId="0" borderId="0" xfId="0" applyNumberFormat="1" applyAlignment="1">
      <alignment horizontal="center"/>
    </xf>
    <xf numFmtId="169" fontId="0" fillId="0" borderId="0" xfId="0" applyNumberFormat="1" applyAlignment="1">
      <alignment horizontal="center"/>
    </xf>
    <xf numFmtId="164" fontId="0" fillId="0" borderId="0" xfId="0" applyNumberFormat="1" applyAlignment="1">
      <alignment horizontal="center"/>
    </xf>
    <xf numFmtId="43" fontId="0" fillId="0" borderId="0" xfId="0" applyNumberFormat="1" applyAlignment="1">
      <alignment horizontal="center"/>
    </xf>
    <xf numFmtId="0" fontId="0" fillId="3" borderId="0" xfId="0" applyFill="1"/>
    <xf numFmtId="0" fontId="43" fillId="4" borderId="7" xfId="0" applyFont="1" applyFill="1" applyBorder="1"/>
    <xf numFmtId="0" fontId="43" fillId="4" borderId="7" xfId="0" applyFont="1" applyFill="1" applyBorder="1" applyAlignment="1">
      <alignment horizontal="center"/>
    </xf>
    <xf numFmtId="0" fontId="43" fillId="4" borderId="17" xfId="0" applyFont="1" applyFill="1" applyBorder="1"/>
    <xf numFmtId="0" fontId="17" fillId="4" borderId="7" xfId="0" applyFont="1" applyFill="1" applyBorder="1" applyAlignment="1">
      <alignment vertical="center" wrapText="1"/>
    </xf>
    <xf numFmtId="0" fontId="7" fillId="2" borderId="8" xfId="0" applyFont="1" applyFill="1" applyBorder="1" applyAlignment="1">
      <alignment horizontal="center" vertical="top" wrapText="1"/>
    </xf>
    <xf numFmtId="9" fontId="0" fillId="0" borderId="1" xfId="0" applyNumberFormat="1" applyBorder="1" applyAlignment="1">
      <alignment horizontal="left" vertical="center"/>
    </xf>
    <xf numFmtId="0" fontId="10" fillId="0" borderId="1" xfId="0" applyFont="1" applyBorder="1" applyAlignment="1">
      <alignment vertical="center"/>
    </xf>
    <xf numFmtId="0" fontId="5" fillId="0" borderId="3" xfId="0" applyFont="1" applyBorder="1" applyAlignment="1">
      <alignment horizontal="left" vertical="top"/>
    </xf>
    <xf numFmtId="0" fontId="5" fillId="0" borderId="1" xfId="0" applyFont="1" applyBorder="1" applyAlignment="1">
      <alignment vertical="top" wrapText="1"/>
    </xf>
    <xf numFmtId="0" fontId="5" fillId="0" borderId="1" xfId="0" applyFont="1" applyBorder="1" applyAlignment="1">
      <alignment vertical="top"/>
    </xf>
    <xf numFmtId="49" fontId="9" fillId="0" borderId="3" xfId="0" applyNumberFormat="1" applyFont="1" applyBorder="1" applyAlignment="1">
      <alignment horizontal="left" vertical="top" wrapText="1"/>
    </xf>
    <xf numFmtId="0" fontId="3" fillId="0" borderId="0" xfId="1"/>
    <xf numFmtId="0" fontId="0" fillId="0" borderId="0" xfId="0" applyAlignment="1">
      <alignment vertical="top" wrapText="1"/>
    </xf>
    <xf numFmtId="0" fontId="0" fillId="0" borderId="1" xfId="0" quotePrefix="1" applyBorder="1" applyAlignment="1">
      <alignment horizontal="left" vertical="top" wrapText="1"/>
    </xf>
    <xf numFmtId="0" fontId="11" fillId="4" borderId="10" xfId="0" applyFont="1" applyFill="1" applyBorder="1" applyAlignment="1">
      <alignment vertical="center" wrapText="1"/>
    </xf>
    <xf numFmtId="0" fontId="44" fillId="3" borderId="10" xfId="0" applyFont="1" applyFill="1" applyBorder="1" applyAlignment="1">
      <alignment horizontal="center" vertical="center" wrapText="1"/>
    </xf>
    <xf numFmtId="0" fontId="12" fillId="7" borderId="21" xfId="0" applyFont="1" applyFill="1" applyBorder="1" applyAlignment="1">
      <alignment vertical="top" wrapText="1"/>
    </xf>
    <xf numFmtId="0" fontId="12" fillId="7" borderId="18" xfId="0" applyFont="1" applyFill="1" applyBorder="1" applyAlignment="1">
      <alignment vertical="top" wrapText="1"/>
    </xf>
    <xf numFmtId="0" fontId="12" fillId="7" borderId="16" xfId="0" applyFont="1" applyFill="1" applyBorder="1" applyAlignment="1">
      <alignment vertical="top" wrapText="1"/>
    </xf>
    <xf numFmtId="0" fontId="12" fillId="7" borderId="19" xfId="0" applyFont="1" applyFill="1" applyBorder="1" applyAlignment="1">
      <alignment vertical="top" wrapText="1"/>
    </xf>
    <xf numFmtId="0" fontId="12" fillId="7" borderId="0" xfId="0" applyFont="1" applyFill="1" applyAlignment="1">
      <alignment vertical="top" wrapText="1"/>
    </xf>
    <xf numFmtId="0" fontId="5" fillId="0" borderId="1" xfId="0" quotePrefix="1" applyFont="1" applyBorder="1" applyAlignment="1">
      <alignment vertical="top" wrapText="1"/>
    </xf>
    <xf numFmtId="171" fontId="5" fillId="3" borderId="1" xfId="2" applyNumberFormat="1" applyFont="1" applyFill="1" applyBorder="1"/>
    <xf numFmtId="171" fontId="8" fillId="6" borderId="1" xfId="2" applyNumberFormat="1" applyFont="1" applyFill="1" applyBorder="1" applyAlignment="1" applyProtection="1">
      <alignment horizontal="center" vertical="center"/>
    </xf>
    <xf numFmtId="171" fontId="8" fillId="6" borderId="1" xfId="2" applyNumberFormat="1" applyFont="1" applyFill="1" applyBorder="1" applyAlignment="1" applyProtection="1">
      <alignment vertical="center"/>
    </xf>
    <xf numFmtId="171" fontId="5" fillId="9" borderId="1" xfId="2" applyNumberFormat="1" applyFont="1" applyFill="1" applyBorder="1" applyAlignment="1" applyProtection="1"/>
    <xf numFmtId="171" fontId="5" fillId="9" borderId="1" xfId="2" applyNumberFormat="1" applyFont="1" applyFill="1" applyBorder="1" applyProtection="1"/>
    <xf numFmtId="171" fontId="8" fillId="9" borderId="1" xfId="2" applyNumberFormat="1" applyFont="1" applyFill="1" applyBorder="1" applyAlignment="1" applyProtection="1">
      <alignment horizontal="center" vertical="center"/>
    </xf>
    <xf numFmtId="171" fontId="8" fillId="9" borderId="1" xfId="2" applyNumberFormat="1" applyFont="1" applyFill="1" applyBorder="1" applyAlignment="1" applyProtection="1">
      <alignment vertical="center"/>
    </xf>
    <xf numFmtId="171" fontId="15" fillId="7" borderId="1" xfId="2" applyNumberFormat="1" applyFont="1" applyFill="1" applyBorder="1" applyAlignment="1">
      <alignment horizontal="center" vertical="center"/>
    </xf>
    <xf numFmtId="171" fontId="15" fillId="7" borderId="1" xfId="2" applyNumberFormat="1" applyFont="1" applyFill="1" applyBorder="1" applyAlignment="1" applyProtection="1">
      <alignment horizontal="center" vertical="center"/>
    </xf>
    <xf numFmtId="172" fontId="11" fillId="8" borderId="1" xfId="2" applyNumberFormat="1" applyFont="1" applyFill="1" applyBorder="1"/>
    <xf numFmtId="172" fontId="11" fillId="10" borderId="1" xfId="2" applyNumberFormat="1" applyFont="1" applyFill="1" applyBorder="1"/>
    <xf numFmtId="173" fontId="2" fillId="6" borderId="1" xfId="3" applyNumberFormat="1" applyFont="1" applyFill="1" applyBorder="1" applyAlignment="1" applyProtection="1">
      <alignment vertical="center"/>
    </xf>
    <xf numFmtId="173" fontId="8" fillId="6" borderId="1" xfId="3" applyNumberFormat="1" applyFont="1" applyFill="1" applyBorder="1" applyAlignment="1">
      <alignment vertical="center"/>
    </xf>
    <xf numFmtId="173" fontId="8" fillId="9" borderId="7" xfId="3" applyNumberFormat="1" applyFont="1" applyFill="1" applyBorder="1" applyAlignment="1" applyProtection="1">
      <alignment vertical="center"/>
    </xf>
    <xf numFmtId="173" fontId="4" fillId="9" borderId="1" xfId="3" applyNumberFormat="1" applyFont="1" applyFill="1" applyBorder="1" applyAlignment="1" applyProtection="1">
      <alignment vertical="center"/>
    </xf>
    <xf numFmtId="173" fontId="15" fillId="7" borderId="7" xfId="2" applyNumberFormat="1" applyFont="1" applyFill="1" applyBorder="1" applyAlignment="1" applyProtection="1">
      <alignment horizontal="center" vertical="center"/>
    </xf>
    <xf numFmtId="173" fontId="11" fillId="7" borderId="1" xfId="3" applyNumberFormat="1" applyFont="1" applyFill="1" applyBorder="1" applyAlignment="1" applyProtection="1">
      <alignment vertical="center"/>
    </xf>
    <xf numFmtId="173" fontId="15" fillId="7" borderId="1" xfId="2" applyNumberFormat="1" applyFont="1" applyFill="1" applyBorder="1" applyAlignment="1" applyProtection="1">
      <alignment horizontal="center" vertical="center"/>
    </xf>
    <xf numFmtId="173" fontId="11" fillId="8" borderId="1" xfId="0" applyNumberFormat="1" applyFont="1" applyFill="1" applyBorder="1"/>
    <xf numFmtId="173" fontId="11" fillId="8" borderId="1" xfId="3" applyNumberFormat="1" applyFont="1" applyFill="1" applyBorder="1" applyProtection="1"/>
    <xf numFmtId="173" fontId="11" fillId="10" borderId="1" xfId="3" applyNumberFormat="1" applyFont="1" applyFill="1" applyBorder="1"/>
    <xf numFmtId="173" fontId="12" fillId="10" borderId="1" xfId="0" applyNumberFormat="1" applyFont="1" applyFill="1" applyBorder="1"/>
    <xf numFmtId="173" fontId="11" fillId="10" borderId="1" xfId="0" applyNumberFormat="1" applyFont="1" applyFill="1" applyBorder="1" applyAlignment="1">
      <alignment horizontal="right"/>
    </xf>
    <xf numFmtId="173" fontId="11" fillId="10" borderId="1" xfId="2" applyNumberFormat="1" applyFont="1" applyFill="1" applyBorder="1"/>
    <xf numFmtId="173" fontId="15" fillId="4" borderId="1" xfId="2" applyNumberFormat="1" applyFont="1" applyFill="1" applyBorder="1" applyAlignment="1">
      <alignment horizontal="center" vertical="center"/>
    </xf>
    <xf numFmtId="173" fontId="15" fillId="4" borderId="1" xfId="2" applyNumberFormat="1" applyFont="1" applyFill="1" applyBorder="1" applyAlignment="1">
      <alignment horizontal="center" vertical="center" wrapText="1"/>
    </xf>
    <xf numFmtId="171" fontId="15" fillId="4" borderId="1" xfId="0" applyNumberFormat="1" applyFont="1" applyFill="1" applyBorder="1" applyAlignment="1">
      <alignment vertical="center"/>
    </xf>
    <xf numFmtId="171" fontId="15" fillId="4" borderId="1" xfId="2" applyNumberFormat="1" applyFont="1" applyFill="1" applyBorder="1" applyAlignment="1">
      <alignment vertical="center"/>
    </xf>
    <xf numFmtId="171" fontId="15" fillId="10" borderId="1" xfId="0" applyNumberFormat="1" applyFont="1" applyFill="1" applyBorder="1" applyAlignment="1">
      <alignment horizontal="center" vertical="center"/>
    </xf>
    <xf numFmtId="171" fontId="15" fillId="10" borderId="1" xfId="0" applyNumberFormat="1" applyFont="1" applyFill="1" applyBorder="1" applyAlignment="1">
      <alignment horizontal="left" vertical="center"/>
    </xf>
    <xf numFmtId="171" fontId="11" fillId="10" borderId="1" xfId="2" applyNumberFormat="1" applyFont="1" applyFill="1" applyBorder="1"/>
    <xf numFmtId="173" fontId="15" fillId="5" borderId="1" xfId="0" applyNumberFormat="1" applyFont="1" applyFill="1" applyBorder="1" applyAlignment="1">
      <alignment horizontal="center" vertical="top" wrapText="1"/>
    </xf>
    <xf numFmtId="171" fontId="11" fillId="8" borderId="1" xfId="0" applyNumberFormat="1" applyFont="1" applyFill="1" applyBorder="1"/>
    <xf numFmtId="171" fontId="12" fillId="10" borderId="1" xfId="0" applyNumberFormat="1" applyFont="1" applyFill="1" applyBorder="1"/>
    <xf numFmtId="0" fontId="46" fillId="0" borderId="0" xfId="0" applyFont="1" applyAlignment="1">
      <alignment horizontal="center" vertical="center" wrapText="1"/>
    </xf>
    <xf numFmtId="0" fontId="47" fillId="0" borderId="0" xfId="0" applyFont="1" applyAlignment="1">
      <alignment vertical="center" wrapText="1"/>
    </xf>
    <xf numFmtId="0" fontId="47" fillId="0" borderId="0" xfId="0" applyFont="1" applyAlignment="1">
      <alignment horizontal="center" vertical="center" wrapText="1"/>
    </xf>
    <xf numFmtId="0" fontId="48" fillId="0" borderId="0" xfId="0" applyFont="1" applyAlignment="1">
      <alignment vertical="center" wrapText="1"/>
    </xf>
    <xf numFmtId="0" fontId="5" fillId="0" borderId="0" xfId="0" applyFont="1" applyAlignment="1">
      <alignment vertical="center" wrapText="1"/>
    </xf>
    <xf numFmtId="0" fontId="48" fillId="0" borderId="0" xfId="0" applyFont="1" applyAlignment="1">
      <alignment horizontal="center" vertical="center" wrapText="1"/>
    </xf>
    <xf numFmtId="0" fontId="49" fillId="0" borderId="0" xfId="0" applyFont="1" applyAlignment="1">
      <alignment horizontal="center" vertical="center" wrapText="1"/>
    </xf>
    <xf numFmtId="0" fontId="12" fillId="0" borderId="0" xfId="0" applyFont="1" applyAlignment="1">
      <alignment horizontal="center" vertical="center" wrapText="1"/>
    </xf>
    <xf numFmtId="0" fontId="12" fillId="7" borderId="0" xfId="0" applyFont="1" applyFill="1" applyAlignment="1">
      <alignment horizontal="left" vertical="top" wrapText="1"/>
    </xf>
    <xf numFmtId="0" fontId="12" fillId="7" borderId="16" xfId="0" applyFont="1" applyFill="1" applyBorder="1" applyAlignment="1">
      <alignment horizontal="left" vertical="top" wrapText="1"/>
    </xf>
    <xf numFmtId="0" fontId="11" fillId="7" borderId="16" xfId="0" applyFont="1" applyFill="1" applyBorder="1" applyAlignment="1">
      <alignment horizontal="left" vertical="top" wrapText="1"/>
    </xf>
    <xf numFmtId="0" fontId="11" fillId="7" borderId="0" xfId="0" applyFont="1" applyFill="1" applyAlignment="1">
      <alignment horizontal="left" vertical="top" wrapText="1"/>
    </xf>
    <xf numFmtId="0" fontId="52" fillId="0" borderId="0" xfId="0" quotePrefix="1" applyFont="1" applyAlignment="1">
      <alignment vertical="center" wrapText="1"/>
    </xf>
    <xf numFmtId="14" fontId="5" fillId="0" borderId="0" xfId="0" applyNumberFormat="1" applyFont="1" applyAlignment="1">
      <alignment vertical="center" wrapText="1"/>
    </xf>
    <xf numFmtId="0" fontId="23" fillId="0" borderId="17" xfId="0" applyFont="1" applyBorder="1" applyAlignment="1">
      <alignment wrapText="1"/>
    </xf>
    <xf numFmtId="0" fontId="9" fillId="0" borderId="1" xfId="0" applyFont="1" applyBorder="1" applyAlignment="1">
      <alignment vertical="center" wrapText="1"/>
    </xf>
    <xf numFmtId="0" fontId="5" fillId="0" borderId="3" xfId="0" applyFont="1" applyBorder="1" applyAlignment="1">
      <alignment horizontal="left" vertical="top" wrapText="1"/>
    </xf>
    <xf numFmtId="0" fontId="5" fillId="0" borderId="11" xfId="0" applyFont="1" applyBorder="1" applyAlignment="1">
      <alignment horizontal="left" vertical="top"/>
    </xf>
    <xf numFmtId="0" fontId="16" fillId="3" borderId="0" xfId="0" applyFont="1" applyFill="1"/>
    <xf numFmtId="165" fontId="0" fillId="3" borderId="0" xfId="2" applyNumberFormat="1" applyFont="1" applyFill="1"/>
    <xf numFmtId="0" fontId="0" fillId="3" borderId="0" xfId="0" applyFill="1" applyAlignment="1">
      <alignment horizontal="left"/>
    </xf>
    <xf numFmtId="0" fontId="5" fillId="3" borderId="0" xfId="0" applyFont="1" applyFill="1" applyAlignment="1">
      <alignment horizontal="left" vertical="center"/>
    </xf>
    <xf numFmtId="0" fontId="0" fillId="0" borderId="3" xfId="0" applyBorder="1" applyAlignment="1">
      <alignment horizontal="left" vertical="top" wrapText="1"/>
    </xf>
    <xf numFmtId="0" fontId="0" fillId="0" borderId="0" xfId="0" pivotButton="1"/>
    <xf numFmtId="174" fontId="0" fillId="0" borderId="0" xfId="0" applyNumberFormat="1"/>
    <xf numFmtId="0" fontId="5" fillId="3" borderId="1" xfId="0" applyFont="1" applyFill="1" applyBorder="1" applyAlignment="1">
      <alignment vertical="center"/>
    </xf>
    <xf numFmtId="0" fontId="10" fillId="3" borderId="1" xfId="0" applyFont="1" applyFill="1" applyBorder="1" applyAlignment="1">
      <alignment vertical="center" wrapText="1"/>
    </xf>
    <xf numFmtId="0" fontId="10" fillId="0" borderId="1" xfId="0" quotePrefix="1" applyFont="1" applyBorder="1" applyAlignment="1">
      <alignment vertical="top" wrapText="1"/>
    </xf>
    <xf numFmtId="0" fontId="5" fillId="0" borderId="1" xfId="0" applyFont="1" applyBorder="1" applyAlignment="1">
      <alignment horizontal="left" vertical="center" wrapText="1"/>
    </xf>
    <xf numFmtId="0" fontId="5" fillId="0" borderId="3" xfId="0" quotePrefix="1" applyFont="1" applyBorder="1" applyAlignment="1">
      <alignment horizontal="left" vertical="top" wrapText="1"/>
    </xf>
    <xf numFmtId="0" fontId="47" fillId="28" borderId="1" xfId="0" applyFont="1" applyFill="1" applyBorder="1" applyAlignment="1">
      <alignment vertical="center"/>
    </xf>
    <xf numFmtId="0" fontId="10" fillId="3" borderId="4" xfId="0" applyFont="1" applyFill="1" applyBorder="1" applyAlignment="1">
      <alignment vertical="center"/>
    </xf>
    <xf numFmtId="0" fontId="5" fillId="3" borderId="4" xfId="0" applyFont="1" applyFill="1" applyBorder="1" applyAlignment="1">
      <alignment vertical="center"/>
    </xf>
    <xf numFmtId="0" fontId="0" fillId="0" borderId="1" xfId="0" applyBorder="1" applyAlignment="1">
      <alignment wrapText="1"/>
    </xf>
    <xf numFmtId="0" fontId="53" fillId="2" borderId="12" xfId="0" applyFont="1" applyFill="1" applyBorder="1" applyAlignment="1">
      <alignment horizontal="left" vertical="top" wrapText="1"/>
    </xf>
    <xf numFmtId="0" fontId="53" fillId="2" borderId="8" xfId="0" applyFont="1" applyFill="1" applyBorder="1" applyAlignment="1">
      <alignment horizontal="center" vertical="top" wrapText="1"/>
    </xf>
    <xf numFmtId="0" fontId="53" fillId="2" borderId="13" xfId="0" applyFont="1" applyFill="1" applyBorder="1" applyAlignment="1">
      <alignment horizontal="left" vertical="top" wrapText="1"/>
    </xf>
    <xf numFmtId="0" fontId="53" fillId="2" borderId="14" xfId="0" applyFont="1" applyFill="1" applyBorder="1" applyAlignment="1">
      <alignment horizontal="left" vertical="top" wrapText="1"/>
    </xf>
    <xf numFmtId="0" fontId="54" fillId="0" borderId="1" xfId="0" applyFont="1" applyBorder="1" applyAlignment="1">
      <alignment horizontal="left" vertical="top" wrapText="1"/>
    </xf>
    <xf numFmtId="0" fontId="54" fillId="0" borderId="1" xfId="0" applyFont="1" applyBorder="1" applyAlignment="1">
      <alignment vertical="top" wrapText="1"/>
    </xf>
    <xf numFmtId="0" fontId="54" fillId="0" borderId="1" xfId="0" applyFont="1" applyBorder="1" applyAlignment="1">
      <alignment horizontal="left" vertical="top"/>
    </xf>
    <xf numFmtId="49" fontId="55" fillId="0" borderId="3" xfId="0" applyNumberFormat="1" applyFont="1" applyBorder="1" applyAlignment="1">
      <alignment horizontal="left" vertical="top" wrapText="1"/>
    </xf>
    <xf numFmtId="0" fontId="56" fillId="0" borderId="17" xfId="0" applyFont="1" applyBorder="1" applyAlignment="1">
      <alignment wrapText="1"/>
    </xf>
    <xf numFmtId="0" fontId="55" fillId="0" borderId="1" xfId="0" applyFont="1" applyBorder="1" applyAlignment="1">
      <alignment vertical="center" wrapText="1"/>
    </xf>
    <xf numFmtId="0" fontId="54" fillId="0" borderId="1" xfId="0" quotePrefix="1" applyFont="1" applyBorder="1" applyAlignment="1">
      <alignment vertical="top" wrapText="1"/>
    </xf>
    <xf numFmtId="0" fontId="58" fillId="3" borderId="1" xfId="0" applyFont="1" applyFill="1" applyBorder="1" applyAlignment="1">
      <alignment vertical="center"/>
    </xf>
    <xf numFmtId="0" fontId="58" fillId="0" borderId="1" xfId="0" quotePrefix="1" applyFont="1" applyBorder="1" applyAlignment="1">
      <alignment horizontal="left" vertical="top" wrapText="1"/>
    </xf>
    <xf numFmtId="0" fontId="58" fillId="0" borderId="1" xfId="0" quotePrefix="1" applyFont="1" applyBorder="1" applyAlignment="1">
      <alignment vertical="top" wrapText="1"/>
    </xf>
    <xf numFmtId="0" fontId="2" fillId="0" borderId="6" xfId="0" applyFont="1" applyBorder="1" applyAlignment="1">
      <alignment horizontal="left" vertical="top" wrapText="1"/>
    </xf>
    <xf numFmtId="166" fontId="18" fillId="4" borderId="7" xfId="0" applyNumberFormat="1" applyFont="1" applyFill="1" applyBorder="1" applyAlignment="1">
      <alignment horizontal="center"/>
    </xf>
    <xf numFmtId="166" fontId="18" fillId="4" borderId="5" xfId="0" applyNumberFormat="1" applyFont="1" applyFill="1" applyBorder="1" applyAlignment="1">
      <alignment horizontal="center"/>
    </xf>
    <xf numFmtId="0" fontId="17" fillId="4" borderId="15" xfId="0" applyFont="1" applyFill="1" applyBorder="1" applyAlignment="1">
      <alignment horizontal="center" vertical="center" wrapText="1"/>
    </xf>
    <xf numFmtId="0" fontId="17" fillId="4" borderId="18" xfId="0" applyFont="1" applyFill="1" applyBorder="1" applyAlignment="1">
      <alignment horizontal="center" vertical="center" wrapText="1"/>
    </xf>
    <xf numFmtId="0" fontId="11" fillId="4" borderId="21" xfId="0" applyFont="1" applyFill="1" applyBorder="1" applyAlignment="1">
      <alignment horizontal="left" vertical="top" wrapText="1"/>
    </xf>
    <xf numFmtId="0" fontId="11" fillId="4" borderId="7" xfId="0" applyFont="1" applyFill="1" applyBorder="1" applyAlignment="1">
      <alignment horizontal="left" vertical="top" wrapText="1"/>
    </xf>
    <xf numFmtId="0" fontId="17" fillId="4" borderId="16"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7" fillId="4" borderId="20"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11" fillId="4" borderId="9" xfId="0" applyFont="1" applyFill="1" applyBorder="1" applyAlignment="1">
      <alignment horizontal="center" vertical="center" wrapText="1"/>
    </xf>
    <xf numFmtId="0" fontId="11" fillId="4" borderId="20" xfId="0" applyFont="1" applyFill="1" applyBorder="1" applyAlignment="1">
      <alignment horizontal="center" vertical="center" wrapText="1"/>
    </xf>
    <xf numFmtId="14" fontId="11" fillId="4" borderId="4" xfId="0" applyNumberFormat="1" applyFont="1" applyFill="1" applyBorder="1" applyAlignment="1">
      <alignment horizontal="center" vertical="center" wrapText="1"/>
    </xf>
    <xf numFmtId="14" fontId="11" fillId="4" borderId="3" xfId="0" applyNumberFormat="1" applyFont="1" applyFill="1" applyBorder="1" applyAlignment="1">
      <alignment horizontal="center" vertical="center" wrapText="1"/>
    </xf>
    <xf numFmtId="0" fontId="11" fillId="4" borderId="17" xfId="0" applyFont="1" applyFill="1" applyBorder="1" applyAlignment="1">
      <alignment horizontal="right" vertical="center" wrapText="1" indent="1"/>
    </xf>
    <xf numFmtId="0" fontId="11" fillId="4" borderId="7" xfId="0" applyFont="1" applyFill="1" applyBorder="1" applyAlignment="1">
      <alignment horizontal="right" vertical="center" wrapText="1" indent="1"/>
    </xf>
    <xf numFmtId="0" fontId="11" fillId="4" borderId="17" xfId="0" applyFont="1" applyFill="1" applyBorder="1" applyAlignment="1">
      <alignment horizontal="center" vertical="center" wrapText="1"/>
    </xf>
    <xf numFmtId="0" fontId="11" fillId="4" borderId="7" xfId="0" applyFont="1" applyFill="1" applyBorder="1" applyAlignment="1">
      <alignment horizontal="center" vertical="center" wrapText="1"/>
    </xf>
    <xf numFmtId="0" fontId="11" fillId="4" borderId="5" xfId="0" applyFont="1" applyFill="1" applyBorder="1" applyAlignment="1">
      <alignment horizontal="center" vertical="center" wrapText="1"/>
    </xf>
    <xf numFmtId="0" fontId="15" fillId="4" borderId="17"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5" xfId="0" applyFont="1" applyFill="1" applyBorder="1" applyAlignment="1">
      <alignment horizontal="center" vertical="center"/>
    </xf>
    <xf numFmtId="0" fontId="15" fillId="4" borderId="3" xfId="0" applyFont="1" applyFill="1" applyBorder="1" applyAlignment="1">
      <alignment horizontal="center" vertical="center"/>
    </xf>
    <xf numFmtId="0" fontId="50" fillId="7" borderId="21" xfId="0" applyFont="1" applyFill="1" applyBorder="1" applyAlignment="1">
      <alignment horizontal="left" vertical="top" wrapText="1"/>
    </xf>
    <xf numFmtId="0" fontId="50" fillId="7" borderId="15" xfId="0" applyFont="1" applyFill="1" applyBorder="1" applyAlignment="1">
      <alignment horizontal="left" vertical="top" wrapText="1"/>
    </xf>
    <xf numFmtId="0" fontId="50" fillId="7" borderId="18" xfId="0" applyFont="1" applyFill="1" applyBorder="1" applyAlignment="1">
      <alignment horizontal="left" vertical="top" wrapText="1"/>
    </xf>
    <xf numFmtId="0" fontId="11" fillId="7" borderId="4" xfId="0" applyFont="1" applyFill="1" applyBorder="1" applyAlignment="1">
      <alignment horizontal="center" vertical="center" wrapText="1"/>
    </xf>
    <xf numFmtId="0" fontId="11" fillId="7" borderId="11" xfId="0" applyFont="1" applyFill="1" applyBorder="1" applyAlignment="1">
      <alignment horizontal="center" vertical="center" wrapText="1"/>
    </xf>
    <xf numFmtId="0" fontId="11" fillId="7" borderId="3" xfId="0" applyFont="1" applyFill="1" applyBorder="1" applyAlignment="1">
      <alignment horizontal="center" vertical="center" wrapText="1"/>
    </xf>
    <xf numFmtId="0" fontId="11" fillId="7" borderId="16" xfId="0" applyFont="1" applyFill="1" applyBorder="1" applyAlignment="1">
      <alignment horizontal="left" vertical="top" wrapText="1"/>
    </xf>
    <xf numFmtId="0" fontId="11" fillId="7" borderId="0" xfId="0" applyFont="1" applyFill="1" applyAlignment="1">
      <alignment horizontal="left" vertical="top" wrapText="1"/>
    </xf>
    <xf numFmtId="0" fontId="12" fillId="7" borderId="0" xfId="0" applyFont="1" applyFill="1" applyAlignment="1">
      <alignment horizontal="left" vertical="top" wrapText="1"/>
    </xf>
    <xf numFmtId="0" fontId="12" fillId="7" borderId="19" xfId="0" applyFont="1" applyFill="1" applyBorder="1" applyAlignment="1">
      <alignment horizontal="left" vertical="top" wrapText="1"/>
    </xf>
    <xf numFmtId="0" fontId="11" fillId="10" borderId="15" xfId="0" applyFont="1" applyFill="1" applyBorder="1" applyAlignment="1">
      <alignment horizontal="center" vertical="center" wrapText="1"/>
    </xf>
    <xf numFmtId="0" fontId="11" fillId="10" borderId="0" xfId="0" applyFont="1" applyFill="1" applyAlignment="1">
      <alignment horizontal="center" vertical="center" wrapText="1"/>
    </xf>
    <xf numFmtId="0" fontId="51" fillId="7" borderId="0" xfId="0" applyFont="1" applyFill="1" applyAlignment="1">
      <alignment horizontal="left" vertical="top" wrapText="1" indent="3"/>
    </xf>
    <xf numFmtId="0" fontId="51" fillId="7" borderId="19" xfId="0" applyFont="1" applyFill="1" applyBorder="1" applyAlignment="1">
      <alignment horizontal="left" vertical="top" wrapText="1" indent="3"/>
    </xf>
    <xf numFmtId="0" fontId="11" fillId="8" borderId="18"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2" fillId="0" borderId="0" xfId="0" applyFont="1" applyAlignment="1">
      <alignment horizontal="center" wrapText="1"/>
    </xf>
    <xf numFmtId="0" fontId="22" fillId="3" borderId="0" xfId="0" applyFont="1" applyFill="1" applyAlignment="1" applyProtection="1">
      <alignment horizontal="left" vertical="top" wrapText="1"/>
      <protection locked="0"/>
    </xf>
    <xf numFmtId="0" fontId="0" fillId="3" borderId="0" xfId="0" applyFill="1" applyAlignment="1">
      <alignment horizontal="center"/>
    </xf>
  </cellXfs>
  <cellStyles count="67">
    <cellStyle name="background-color:White; color:Black; font:font-family:Arial; font-size:8pt; fo" xfId="63" xr:uid="{B638A4A7-FDCD-413C-8006-98BA08196883}"/>
    <cellStyle name="background-color:White; color:Black; font:font-family:Arial; font-size:8pt; fo 2" xfId="65" xr:uid="{D3531C22-3CCD-470E-B537-FC0DC3808B79}"/>
    <cellStyle name="Comma" xfId="2" builtinId="3"/>
    <cellStyle name="Comma 2" xfId="60" xr:uid="{17164CAD-0A9B-4A8D-AA00-F60AE8A3F385}"/>
    <cellStyle name="Comma 5" xfId="61" xr:uid="{E35AAD38-2CB9-4C00-8A0D-82A8DD86CB7A}"/>
    <cellStyle name="Comma 52" xfId="41" xr:uid="{75F62A43-FEBC-4000-91B0-ABA13C404033}"/>
    <cellStyle name="Currency" xfId="3" builtinId="4"/>
    <cellStyle name="Currency 2" xfId="47" xr:uid="{1C78B9F0-FACB-435A-B975-4D2F0927AE46}"/>
    <cellStyle name="Currency 2 10" xfId="55" xr:uid="{BA5DCDA8-94B2-4863-B638-6CD14858E49B}"/>
    <cellStyle name="Currency 2 2" xfId="48" xr:uid="{A62E1730-BB6F-4B92-8D0C-EC7F8F18685B}"/>
    <cellStyle name="Currency 3" xfId="57" xr:uid="{62E466CD-F3F0-4AC9-B07B-59392B583EB3}"/>
    <cellStyle name="Hyperlink" xfId="1" builtinId="8"/>
    <cellStyle name="Normal" xfId="0" builtinId="0"/>
    <cellStyle name="Normal 2" xfId="42" xr:uid="{0B78852C-4405-488B-8D3F-2DE6CA48CC13}"/>
    <cellStyle name="Normal 2 10" xfId="43" xr:uid="{3DE385E3-5C45-4659-9021-972CE6844195}"/>
    <cellStyle name="Normal 2 2" xfId="66" xr:uid="{CC90F741-9451-4347-9D29-CDD5F56CB64B}"/>
    <cellStyle name="Normal 20 2 2 2" xfId="64" xr:uid="{5F98DEC4-4F92-4403-93B5-25513BA656B1}"/>
    <cellStyle name="Normal 3" xfId="44" xr:uid="{28F2270C-992C-4329-8399-CB42892B3528}"/>
    <cellStyle name="Normal 4" xfId="56" xr:uid="{059A7AFC-75BA-4574-A9E8-99DBC8FAFDE6}"/>
    <cellStyle name="Normal 4 2" xfId="59" xr:uid="{847F7853-3C98-4FFD-9DA1-BACC645984B7}"/>
    <cellStyle name="Normal 5" xfId="62" xr:uid="{D64EE61F-5C96-48A2-BBD9-887C7D92570B}"/>
    <cellStyle name="Normal 62" xfId="45" xr:uid="{EE010581-9A97-47B5-AD59-8E07D39E7232}"/>
    <cellStyle name="Normal 8" xfId="46" xr:uid="{A1956A2E-02E4-4974-B441-A9D85968C055}"/>
    <cellStyle name="Normal 8 2" xfId="54" xr:uid="{0EB2367A-2822-4AD8-8C93-E9466FB2CD30}"/>
    <cellStyle name="Percent" xfId="4" builtinId="5"/>
    <cellStyle name="Percent 2" xfId="58" xr:uid="{43D37B5C-1510-424F-8946-DA36BFEB8DF8}"/>
    <cellStyle name="SAPBorder" xfId="24" xr:uid="{9BD933A4-4DEB-4A16-9314-4723ACB14C59}"/>
    <cellStyle name="SAPDataCell" xfId="6" xr:uid="{F1E553B6-7D81-403A-BA8C-65B309C58AC0}"/>
    <cellStyle name="SAPDataCell 2" xfId="51" xr:uid="{5DB992F1-CFCA-4FD3-B091-DC403708596B}"/>
    <cellStyle name="SAPDataRemoved" xfId="25" xr:uid="{1BF07835-7C17-446B-AC06-2FD81E334BC1}"/>
    <cellStyle name="SAPDataTotalCell" xfId="7" xr:uid="{DA3C0F05-5BE2-4AE3-BA9A-F77D8DD4665A}"/>
    <cellStyle name="SAPDataTotalCell 2" xfId="53" xr:uid="{FB5C04D8-4B3A-4B34-B665-C9310A104EB1}"/>
    <cellStyle name="SAPDimensionCell" xfId="5" xr:uid="{E0F71DB7-2F27-4AF6-860A-51A70D4A4A87}"/>
    <cellStyle name="SAPDimensionCell 2" xfId="49" xr:uid="{D704A989-7BFB-42E7-9370-2FBA15E7908C}"/>
    <cellStyle name="SAPEditableDataCell" xfId="9" xr:uid="{65FEB409-D2CE-4B98-BA4C-D0D76971898F}"/>
    <cellStyle name="SAPEditableDataTotalCell" xfId="12" xr:uid="{82834B18-C56A-4F64-84D6-62C24B68F6B7}"/>
    <cellStyle name="SAPEmphasized" xfId="30" xr:uid="{67770B12-27ED-4CA0-86EB-681E0EC2BDF8}"/>
    <cellStyle name="SAPEmphasizedEditableDataCell" xfId="32" xr:uid="{C1991113-26DA-4F3D-91FC-C2C87949CE1D}"/>
    <cellStyle name="SAPEmphasizedEditableDataTotalCell" xfId="33" xr:uid="{783E29B7-4B57-40E2-9917-991A176117F0}"/>
    <cellStyle name="SAPEmphasizedLockedDataCell" xfId="36" xr:uid="{BCE51CC6-D133-4206-B1B0-7B3B499F90AB}"/>
    <cellStyle name="SAPEmphasizedLockedDataTotalCell" xfId="37" xr:uid="{489ED2A6-636A-48AD-BEB4-3DDB9459ADD0}"/>
    <cellStyle name="SAPEmphasizedReadonlyDataCell" xfId="34" xr:uid="{CC65E33A-53BE-4853-AE7A-EEBD529E7E99}"/>
    <cellStyle name="SAPEmphasizedReadonlyDataTotalCell" xfId="35" xr:uid="{F835AC7B-7B01-4478-AE00-8F442E9785D5}"/>
    <cellStyle name="SAPEmphasizedTotal" xfId="31" xr:uid="{9B1EA53B-C915-4C3D-825B-F7B54C99FAC3}"/>
    <cellStyle name="SAPError" xfId="26" xr:uid="{76F9E026-AA1B-4821-BFF1-F542C4930F0C}"/>
    <cellStyle name="SAPExceptionLevel1" xfId="15" xr:uid="{55B5412D-ECA0-4CE9-A937-22D8B1FEAD0C}"/>
    <cellStyle name="SAPExceptionLevel2" xfId="16" xr:uid="{AF234208-53A4-4156-80B7-99507B8980BE}"/>
    <cellStyle name="SAPExceptionLevel3" xfId="17" xr:uid="{0958D706-064C-40AE-BD4E-EFB5E80D72C6}"/>
    <cellStyle name="SAPExceptionLevel4" xfId="18" xr:uid="{DBDFC32A-6D6C-435B-BD1E-14B1A8CBF05C}"/>
    <cellStyle name="SAPExceptionLevel5" xfId="19" xr:uid="{56E72B5C-D809-445A-A1DF-1E39D4672287}"/>
    <cellStyle name="SAPExceptionLevel6" xfId="20" xr:uid="{FDA9373D-9212-4148-A964-41326226066A}"/>
    <cellStyle name="SAPExceptionLevel7" xfId="21" xr:uid="{4617EB10-828B-4FE8-9D01-9243FF9287A6}"/>
    <cellStyle name="SAPExceptionLevel8" xfId="22" xr:uid="{803E707C-C2CF-4C94-8D42-2EB36D529958}"/>
    <cellStyle name="SAPExceptionLevel9" xfId="23" xr:uid="{9008CB02-6B4F-4C91-91FD-EECAC5F3EEF7}"/>
    <cellStyle name="SAPFormula" xfId="38" xr:uid="{8DA4C42D-9ECD-41E3-8F52-487C4930DA51}"/>
    <cellStyle name="SAPGroupingFillCell" xfId="8" xr:uid="{AA56DE09-79C6-44D7-A2F3-3C09E28F6DD6}"/>
    <cellStyle name="SAPHierarchyCell" xfId="40" xr:uid="{B49F661F-B6B8-4C41-B597-0D3B641693C5}"/>
    <cellStyle name="SAPHierarchyOddCell" xfId="39" xr:uid="{0655DBA5-2760-471F-B969-AEF34E30EFB4}"/>
    <cellStyle name="SAPLockedDataCell" xfId="11" xr:uid="{ED01BE62-9099-4AFF-AC11-133A1B8618C8}"/>
    <cellStyle name="SAPLockedDataTotalCell" xfId="14" xr:uid="{2BCAA946-32D6-4688-AECE-B8C19232EC6B}"/>
    <cellStyle name="SAPMemberCell" xfId="28" xr:uid="{8710FB60-D786-4964-9BFE-C828E57ABE5A}"/>
    <cellStyle name="SAPMemberCell 2" xfId="50" xr:uid="{979759F5-885D-4143-9FDA-93A0E51ED5F2}"/>
    <cellStyle name="SAPMemberTotalCell" xfId="29" xr:uid="{2555381B-12CA-4BE1-83F0-6E34E2CB2052}"/>
    <cellStyle name="SAPMemberTotalCell 2" xfId="52" xr:uid="{D3656355-A1EA-4C56-A19C-D917283C3642}"/>
    <cellStyle name="SAPMessageText" xfId="27" xr:uid="{F731AD43-5DF2-45F0-A154-CC51BF81190C}"/>
    <cellStyle name="SAPReadonlyDataCell" xfId="10" xr:uid="{8B55B0A3-C2FF-499D-89C4-DBBCE2CA810E}"/>
    <cellStyle name="SAPReadonlyDataTotalCell" xfId="13" xr:uid="{6F4F47BF-E292-4B0A-BFEC-A92AE26F95CB}"/>
  </cellStyles>
  <dxfs count="58">
    <dxf>
      <font>
        <color rgb="FF9C0006"/>
      </font>
      <fill>
        <patternFill>
          <bgColor rgb="FFFFC7CE"/>
        </patternFill>
      </fill>
    </dxf>
    <dxf>
      <font>
        <color theme="0"/>
      </font>
      <fill>
        <patternFill>
          <bgColor rgb="FF00CC00"/>
        </patternFill>
      </fill>
    </dxf>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font>
        <color rgb="FF9C0006"/>
      </font>
      <fill>
        <patternFill>
          <bgColor rgb="FFFFC7CE"/>
        </patternFill>
      </fill>
    </dxf>
    <dxf>
      <font>
        <color theme="0"/>
      </font>
      <fill>
        <patternFill>
          <bgColor rgb="FF00CC00"/>
        </patternFill>
      </fill>
    </dxf>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ill>
        <patternFill>
          <bgColor rgb="FFFF99FF"/>
        </patternFill>
      </fill>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font>
        <color rgb="FF9C0006"/>
      </font>
      <fill>
        <patternFill>
          <bgColor rgb="FFFFC7CE"/>
        </patternFill>
      </fill>
    </dxf>
    <dxf>
      <font>
        <color theme="0"/>
      </font>
      <fill>
        <patternFill>
          <bgColor rgb="FF00CC00"/>
        </patternFill>
      </fill>
    </dxf>
    <dxf>
      <font>
        <b/>
        <i val="0"/>
        <color theme="0"/>
      </font>
      <fill>
        <patternFill>
          <bgColor rgb="FF00CC00"/>
        </patternFill>
      </fill>
    </dxf>
    <dxf>
      <font>
        <b/>
        <i val="0"/>
        <color theme="0"/>
      </font>
      <fill>
        <patternFill>
          <bgColor rgb="FFFF9933"/>
        </patternFill>
      </fill>
    </dxf>
    <dxf>
      <font>
        <b/>
        <i val="0"/>
        <color theme="0"/>
      </font>
      <fill>
        <patternFill>
          <bgColor rgb="FFFF00FF"/>
        </patternFill>
      </fill>
    </dxf>
    <dxf>
      <font>
        <color rgb="FF9C0006"/>
      </font>
      <fill>
        <patternFill>
          <bgColor rgb="FFFFC7CE"/>
        </patternFill>
      </fill>
    </dxf>
    <dxf>
      <font>
        <color theme="0"/>
      </font>
      <fill>
        <patternFill>
          <bgColor rgb="FFFF7C80"/>
        </patternFill>
      </fill>
    </dxf>
    <dxf>
      <font>
        <color theme="0"/>
      </font>
      <fill>
        <patternFill>
          <bgColor rgb="FFC00000"/>
        </patternFill>
      </fill>
    </dxf>
    <dxf>
      <fill>
        <patternFill>
          <bgColor theme="9" tint="0.79998168889431442"/>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ill>
        <patternFill>
          <bgColor rgb="FFFFCCFF"/>
        </patternFill>
      </fill>
      <border>
        <left style="dashed">
          <color theme="9" tint="-0.499984740745262"/>
        </left>
        <right style="dashed">
          <color theme="9" tint="-0.499984740745262"/>
        </right>
        <top style="dashed">
          <color theme="9" tint="-0.499984740745262"/>
        </top>
        <bottom style="dashed">
          <color theme="9" tint="-0.499984740745262"/>
        </bottom>
        <vertical/>
        <horizontal/>
      </border>
    </dxf>
    <dxf>
      <font>
        <color rgb="FF0070C0"/>
      </font>
    </dxf>
    <dxf>
      <fill>
        <patternFill>
          <bgColor rgb="FFFF99FF"/>
        </patternFill>
      </fill>
    </dxf>
    <dxf>
      <fill>
        <patternFill>
          <bgColor rgb="FFFF99FF"/>
        </patternFill>
      </fill>
    </dxf>
    <dxf>
      <font>
        <b/>
        <i/>
        <color theme="0"/>
      </font>
      <fill>
        <patternFill>
          <bgColor rgb="FFFF9933"/>
        </patternFill>
      </fill>
      <border>
        <vertical/>
        <horizontal/>
      </border>
    </dxf>
    <dxf>
      <font>
        <b/>
        <i/>
        <color theme="0"/>
      </font>
      <fill>
        <patternFill>
          <bgColor rgb="FF33CC33"/>
        </patternFill>
      </fill>
      <border>
        <vertical/>
        <horizontal/>
      </border>
    </dxf>
    <dxf>
      <font>
        <b/>
        <i/>
        <color theme="0"/>
      </font>
      <fill>
        <patternFill>
          <bgColor rgb="FFFF00FF"/>
        </patternFill>
      </fill>
      <border>
        <vertical/>
        <horizontal/>
      </border>
    </dxf>
    <dxf>
      <alignment horizontal="general" vertical="top"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font>
        <color rgb="FF000000"/>
      </font>
      <alignment horizontal="general" vertical="center" textRotation="0" wrapText="1" indent="0" justifyLastLine="0" shrinkToFit="0" readingOrder="0"/>
    </dxf>
    <dxf>
      <numFmt numFmtId="174" formatCode="_(&quot;$&quot;* 0.00,,\ &quot;M&quot;_);_(&quot;$&quot;* \(#,##0\);_(&quot;&quot;??_);_(@_)"/>
    </dxf>
    <dxf>
      <alignment wrapText="1"/>
    </dxf>
    <dxf>
      <alignment wrapText="1"/>
    </dxf>
  </dxfs>
  <tableStyles count="1" defaultTableStyle="TableStyleMedium2" defaultPivotStyle="PivotStyleLight16">
    <tableStyle name="Invisible" pivot="0" table="0" count="0" xr9:uid="{169A77D4-F2E5-4A17-B4CE-BF1EB4D90154}"/>
  </tableStyles>
  <colors>
    <mruColors>
      <color rgb="FFFFCCFF"/>
      <color rgb="FFFF9933"/>
      <color rgb="FF00CC00"/>
      <color rgb="FFFF99FF"/>
      <color rgb="FFFF66CC"/>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C40 v1.0 r2 (EPD)'!$G$67</c:f>
              <c:strCache>
                <c:ptCount val="1"/>
                <c:pt idx="0">
                  <c:v>Existing - AOP</c:v>
                </c:pt>
              </c:strCache>
            </c:strRef>
          </c:tx>
          <c:spPr>
            <a:solidFill>
              <a:schemeClr val="accent1">
                <a:alpha val="70000"/>
              </a:schemeClr>
            </a:solidFill>
            <a:ln>
              <a:noFill/>
            </a:ln>
            <a:effectLst/>
          </c:spPr>
          <c:invertIfNegative val="0"/>
          <c:cat>
            <c:strRef>
              <c:f>'Capitola C40 v1.0 r2 (EPD)'!$H$5:$AI$5</c:f>
              <c:strCache>
                <c:ptCount val="20"/>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strCache>
            </c:strRef>
          </c:cat>
          <c:val>
            <c:numRef>
              <c:f>'Capitola C40 v1.0 r2 (EPD)'!$H$67:$AI$67</c:f>
              <c:numCache>
                <c:formatCode>_(* 0.0_);_(* \(0.0\);_(* ""??_);_(@_)</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7F2D-4B08-80E0-930B0A7DF38C}"/>
            </c:ext>
          </c:extLst>
        </c:ser>
        <c:ser>
          <c:idx val="3"/>
          <c:order val="1"/>
          <c:tx>
            <c:strRef>
              <c:f>'Capitola C40 v1.0 r2 (EPD)'!$G$68</c:f>
              <c:strCache>
                <c:ptCount val="1"/>
                <c:pt idx="0">
                  <c:v>Incremental - XCHG</c:v>
                </c:pt>
              </c:strCache>
            </c:strRef>
          </c:tx>
          <c:spPr>
            <a:solidFill>
              <a:schemeClr val="accent4">
                <a:alpha val="70000"/>
              </a:schemeClr>
            </a:solidFill>
            <a:ln>
              <a:noFill/>
            </a:ln>
            <a:effectLst/>
          </c:spPr>
          <c:invertIfNegative val="0"/>
          <c:cat>
            <c:strRef>
              <c:f>'Capitola C40 v1.0 r2 (EPD)'!$H$5:$AI$5</c:f>
              <c:strCache>
                <c:ptCount val="20"/>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strCache>
            </c:strRef>
          </c:cat>
          <c:val>
            <c:numRef>
              <c:f>'Capitola C40 v1.0 r2 (EPD)'!$H$68:$AI$68</c:f>
              <c:numCache>
                <c:formatCode>_(* 0.0_);_(* \(0.0\);_(* ""??_);_(@_)</c:formatCode>
                <c:ptCount val="20"/>
                <c:pt idx="0">
                  <c:v>0</c:v>
                </c:pt>
                <c:pt idx="1">
                  <c:v>0</c:v>
                </c:pt>
                <c:pt idx="2">
                  <c:v>0</c:v>
                </c:pt>
                <c:pt idx="3">
                  <c:v>0</c:v>
                </c:pt>
                <c:pt idx="4">
                  <c:v>0</c:v>
                </c:pt>
                <c:pt idx="5">
                  <c:v>0</c:v>
                </c:pt>
                <c:pt idx="6">
                  <c:v>0</c:v>
                </c:pt>
                <c:pt idx="7">
                  <c:v>1</c:v>
                </c:pt>
                <c:pt idx="8">
                  <c:v>2</c:v>
                </c:pt>
                <c:pt idx="9">
                  <c:v>3</c:v>
                </c:pt>
                <c:pt idx="10">
                  <c:v>3</c:v>
                </c:pt>
                <c:pt idx="11">
                  <c:v>2</c:v>
                </c:pt>
                <c:pt idx="12">
                  <c:v>2</c:v>
                </c:pt>
                <c:pt idx="13">
                  <c:v>1</c:v>
                </c:pt>
                <c:pt idx="14">
                  <c:v>0.5</c:v>
                </c:pt>
                <c:pt idx="15">
                  <c:v>0.3</c:v>
                </c:pt>
                <c:pt idx="16">
                  <c:v>0.3</c:v>
                </c:pt>
                <c:pt idx="17">
                  <c:v>0</c:v>
                </c:pt>
                <c:pt idx="18">
                  <c:v>0</c:v>
                </c:pt>
                <c:pt idx="19">
                  <c:v>0</c:v>
                </c:pt>
              </c:numCache>
            </c:numRef>
          </c:val>
          <c:extLst>
            <c:ext xmlns:c16="http://schemas.microsoft.com/office/drawing/2014/chart" uri="{C3380CC4-5D6E-409C-BE32-E72D297353CC}">
              <c16:uniqueId val="{00000001-7F2D-4B08-80E0-930B0A7DF38C}"/>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C40 v1.0 r2 (EPD)'!$G$69</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C40 v1.0 r2 (EPD)'!$H$5:$AI$5</c:f>
              <c:strCache>
                <c:ptCount val="20"/>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strCache>
            </c:strRef>
          </c:cat>
          <c:val>
            <c:numRef>
              <c:f>'Capitola C40 v1.0 r2 (EPD)'!$H$69:$AI$69</c:f>
              <c:numCache>
                <c:formatCode>_(* 0.0_);_(* \(0.0\);_(* ""??_);_(@_)</c:formatCode>
                <c:ptCount val="20"/>
                <c:pt idx="0">
                  <c:v>0</c:v>
                </c:pt>
                <c:pt idx="1">
                  <c:v>0</c:v>
                </c:pt>
                <c:pt idx="2">
                  <c:v>0</c:v>
                </c:pt>
                <c:pt idx="3">
                  <c:v>0</c:v>
                </c:pt>
                <c:pt idx="4">
                  <c:v>0</c:v>
                </c:pt>
                <c:pt idx="5">
                  <c:v>0</c:v>
                </c:pt>
                <c:pt idx="6">
                  <c:v>0</c:v>
                </c:pt>
                <c:pt idx="7">
                  <c:v>1</c:v>
                </c:pt>
                <c:pt idx="8">
                  <c:v>2</c:v>
                </c:pt>
                <c:pt idx="9">
                  <c:v>3</c:v>
                </c:pt>
                <c:pt idx="10">
                  <c:v>3</c:v>
                </c:pt>
                <c:pt idx="11">
                  <c:v>2</c:v>
                </c:pt>
                <c:pt idx="12">
                  <c:v>2</c:v>
                </c:pt>
                <c:pt idx="13">
                  <c:v>1</c:v>
                </c:pt>
                <c:pt idx="14">
                  <c:v>0.5</c:v>
                </c:pt>
                <c:pt idx="15">
                  <c:v>0.3</c:v>
                </c:pt>
                <c:pt idx="16">
                  <c:v>0.3</c:v>
                </c:pt>
                <c:pt idx="17">
                  <c:v>0</c:v>
                </c:pt>
                <c:pt idx="18">
                  <c:v>0</c:v>
                </c:pt>
                <c:pt idx="19">
                  <c:v>0</c:v>
                </c:pt>
              </c:numCache>
            </c:numRef>
          </c:val>
          <c:extLst>
            <c:ext xmlns:c16="http://schemas.microsoft.com/office/drawing/2014/chart" uri="{C3380CC4-5D6E-409C-BE32-E72D297353CC}">
              <c16:uniqueId val="{00000002-7F2D-4B08-80E0-930B0A7DF38C}"/>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C40 v1.0 r2 (PAVS)'!$G$61</c:f>
              <c:strCache>
                <c:ptCount val="1"/>
                <c:pt idx="0">
                  <c:v>Existing - AOP</c:v>
                </c:pt>
              </c:strCache>
            </c:strRef>
          </c:tx>
          <c:spPr>
            <a:solidFill>
              <a:schemeClr val="accent1">
                <a:alpha val="70000"/>
              </a:schemeClr>
            </a:solidFill>
            <a:ln>
              <a:noFill/>
            </a:ln>
            <a:effectLst/>
          </c:spPr>
          <c:invertIfNegative val="0"/>
          <c:cat>
            <c:strRef>
              <c:f>'Capitola C40 v1.0 r2 (PAVS)'!$H$5:$AI$5</c:f>
              <c:strCache>
                <c:ptCount val="28"/>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pt idx="20">
                  <c:v>Q131</c:v>
                </c:pt>
                <c:pt idx="21">
                  <c:v>Q231</c:v>
                </c:pt>
                <c:pt idx="22">
                  <c:v>Q331</c:v>
                </c:pt>
                <c:pt idx="23">
                  <c:v>Q431</c:v>
                </c:pt>
                <c:pt idx="24">
                  <c:v>Q132</c:v>
                </c:pt>
                <c:pt idx="25">
                  <c:v>Q232</c:v>
                </c:pt>
                <c:pt idx="26">
                  <c:v>Q332</c:v>
                </c:pt>
                <c:pt idx="27">
                  <c:v>Q432</c:v>
                </c:pt>
              </c:strCache>
            </c:strRef>
          </c:cat>
          <c:val>
            <c:numRef>
              <c:f>'Capitola C40 v1.0 r2 (PAVS)'!$H$61:$AI$61</c:f>
              <c:numCache>
                <c:formatCode>_(* 0.0_);_(* \(0.0\);_(* ""??_);_(@_)</c:formatCode>
                <c:ptCount val="2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numCache>
            </c:numRef>
          </c:val>
          <c:extLst>
            <c:ext xmlns:c16="http://schemas.microsoft.com/office/drawing/2014/chart" uri="{C3380CC4-5D6E-409C-BE32-E72D297353CC}">
              <c16:uniqueId val="{00000000-D4D5-4205-8AD3-82F7C1161CCD}"/>
            </c:ext>
          </c:extLst>
        </c:ser>
        <c:ser>
          <c:idx val="3"/>
          <c:order val="1"/>
          <c:tx>
            <c:strRef>
              <c:f>'Capitola C40 v1.0 r2 (PAVS)'!$G$62</c:f>
              <c:strCache>
                <c:ptCount val="1"/>
                <c:pt idx="0">
                  <c:v>Incremental - XCHG</c:v>
                </c:pt>
              </c:strCache>
            </c:strRef>
          </c:tx>
          <c:spPr>
            <a:solidFill>
              <a:schemeClr val="accent4">
                <a:alpha val="70000"/>
              </a:schemeClr>
            </a:solidFill>
            <a:ln>
              <a:noFill/>
            </a:ln>
            <a:effectLst/>
          </c:spPr>
          <c:invertIfNegative val="0"/>
          <c:cat>
            <c:strRef>
              <c:f>'Capitola C40 v1.0 r2 (PAVS)'!$H$5:$AI$5</c:f>
              <c:strCache>
                <c:ptCount val="28"/>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pt idx="20">
                  <c:v>Q131</c:v>
                </c:pt>
                <c:pt idx="21">
                  <c:v>Q231</c:v>
                </c:pt>
                <c:pt idx="22">
                  <c:v>Q331</c:v>
                </c:pt>
                <c:pt idx="23">
                  <c:v>Q431</c:v>
                </c:pt>
                <c:pt idx="24">
                  <c:v>Q132</c:v>
                </c:pt>
                <c:pt idx="25">
                  <c:v>Q232</c:v>
                </c:pt>
                <c:pt idx="26">
                  <c:v>Q332</c:v>
                </c:pt>
                <c:pt idx="27">
                  <c:v>Q432</c:v>
                </c:pt>
              </c:strCache>
            </c:strRef>
          </c:cat>
          <c:val>
            <c:numRef>
              <c:f>'Capitola C40 v1.0 r2 (PAVS)'!$H$62:$AI$62</c:f>
              <c:numCache>
                <c:formatCode>_(* 0.0_);_(* \(0.0\);_(* ""??_);_(@_)</c:formatCode>
                <c:ptCount val="28"/>
                <c:pt idx="0">
                  <c:v>0</c:v>
                </c:pt>
                <c:pt idx="1">
                  <c:v>0</c:v>
                </c:pt>
                <c:pt idx="2">
                  <c:v>0.5</c:v>
                </c:pt>
                <c:pt idx="3">
                  <c:v>1.5</c:v>
                </c:pt>
                <c:pt idx="4">
                  <c:v>2.5</c:v>
                </c:pt>
                <c:pt idx="5">
                  <c:v>2.5</c:v>
                </c:pt>
                <c:pt idx="6">
                  <c:v>2.5</c:v>
                </c:pt>
                <c:pt idx="7">
                  <c:v>2.5</c:v>
                </c:pt>
                <c:pt idx="8">
                  <c:v>2.5</c:v>
                </c:pt>
                <c:pt idx="9">
                  <c:v>15</c:v>
                </c:pt>
                <c:pt idx="10">
                  <c:v>17</c:v>
                </c:pt>
                <c:pt idx="11">
                  <c:v>23</c:v>
                </c:pt>
                <c:pt idx="12">
                  <c:v>24</c:v>
                </c:pt>
                <c:pt idx="13">
                  <c:v>24</c:v>
                </c:pt>
                <c:pt idx="14">
                  <c:v>22</c:v>
                </c:pt>
                <c:pt idx="15">
                  <c:v>18</c:v>
                </c:pt>
                <c:pt idx="16">
                  <c:v>13</c:v>
                </c:pt>
                <c:pt idx="17">
                  <c:v>0</c:v>
                </c:pt>
                <c:pt idx="18">
                  <c:v>0</c:v>
                </c:pt>
                <c:pt idx="19">
                  <c:v>0</c:v>
                </c:pt>
                <c:pt idx="20">
                  <c:v>0</c:v>
                </c:pt>
                <c:pt idx="21">
                  <c:v>0</c:v>
                </c:pt>
                <c:pt idx="22">
                  <c:v>0</c:v>
                </c:pt>
                <c:pt idx="23">
                  <c:v>0</c:v>
                </c:pt>
                <c:pt idx="24">
                  <c:v>0</c:v>
                </c:pt>
                <c:pt idx="25">
                  <c:v>0</c:v>
                </c:pt>
                <c:pt idx="26">
                  <c:v>0</c:v>
                </c:pt>
                <c:pt idx="27">
                  <c:v>0</c:v>
                </c:pt>
              </c:numCache>
            </c:numRef>
          </c:val>
          <c:extLst>
            <c:ext xmlns:c16="http://schemas.microsoft.com/office/drawing/2014/chart" uri="{C3380CC4-5D6E-409C-BE32-E72D297353CC}">
              <c16:uniqueId val="{00000001-D4D5-4205-8AD3-82F7C1161CCD}"/>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C40 v1.0 r2 (PAVS)'!$G$63</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C40 v1.0 r2 (PAVS)'!$H$5:$AI$5</c:f>
              <c:strCache>
                <c:ptCount val="28"/>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pt idx="20">
                  <c:v>Q131</c:v>
                </c:pt>
                <c:pt idx="21">
                  <c:v>Q231</c:v>
                </c:pt>
                <c:pt idx="22">
                  <c:v>Q331</c:v>
                </c:pt>
                <c:pt idx="23">
                  <c:v>Q431</c:v>
                </c:pt>
                <c:pt idx="24">
                  <c:v>Q132</c:v>
                </c:pt>
                <c:pt idx="25">
                  <c:v>Q232</c:v>
                </c:pt>
                <c:pt idx="26">
                  <c:v>Q332</c:v>
                </c:pt>
                <c:pt idx="27">
                  <c:v>Q432</c:v>
                </c:pt>
              </c:strCache>
            </c:strRef>
          </c:cat>
          <c:val>
            <c:numRef>
              <c:f>'Capitola C40 v1.0 r2 (PAVS)'!$H$63:$AI$63</c:f>
              <c:numCache>
                <c:formatCode>_(* 0.0_);_(* \(0.0\);_(* ""??_);_(@_)</c:formatCode>
                <c:ptCount val="28"/>
                <c:pt idx="0">
                  <c:v>0</c:v>
                </c:pt>
                <c:pt idx="1">
                  <c:v>0</c:v>
                </c:pt>
                <c:pt idx="2">
                  <c:v>0.5</c:v>
                </c:pt>
                <c:pt idx="3">
                  <c:v>1.5</c:v>
                </c:pt>
                <c:pt idx="4">
                  <c:v>2.5</c:v>
                </c:pt>
                <c:pt idx="5">
                  <c:v>2.5</c:v>
                </c:pt>
                <c:pt idx="6">
                  <c:v>2.5</c:v>
                </c:pt>
                <c:pt idx="7">
                  <c:v>2.5</c:v>
                </c:pt>
                <c:pt idx="8">
                  <c:v>2.5</c:v>
                </c:pt>
                <c:pt idx="9">
                  <c:v>15</c:v>
                </c:pt>
                <c:pt idx="10">
                  <c:v>17</c:v>
                </c:pt>
                <c:pt idx="11">
                  <c:v>23</c:v>
                </c:pt>
                <c:pt idx="12">
                  <c:v>24</c:v>
                </c:pt>
                <c:pt idx="13">
                  <c:v>24</c:v>
                </c:pt>
                <c:pt idx="14">
                  <c:v>22</c:v>
                </c:pt>
                <c:pt idx="15">
                  <c:v>18</c:v>
                </c:pt>
                <c:pt idx="16">
                  <c:v>13</c:v>
                </c:pt>
                <c:pt idx="17">
                  <c:v>0</c:v>
                </c:pt>
                <c:pt idx="18">
                  <c:v>0</c:v>
                </c:pt>
                <c:pt idx="19">
                  <c:v>0</c:v>
                </c:pt>
                <c:pt idx="20">
                  <c:v>0</c:v>
                </c:pt>
                <c:pt idx="21">
                  <c:v>0</c:v>
                </c:pt>
                <c:pt idx="22">
                  <c:v>0</c:v>
                </c:pt>
                <c:pt idx="23">
                  <c:v>0</c:v>
                </c:pt>
                <c:pt idx="24">
                  <c:v>0</c:v>
                </c:pt>
                <c:pt idx="25">
                  <c:v>0</c:v>
                </c:pt>
                <c:pt idx="26">
                  <c:v>0</c:v>
                </c:pt>
                <c:pt idx="27">
                  <c:v>0</c:v>
                </c:pt>
              </c:numCache>
            </c:numRef>
          </c:val>
          <c:extLst>
            <c:ext xmlns:c16="http://schemas.microsoft.com/office/drawing/2014/chart" uri="{C3380CC4-5D6E-409C-BE32-E72D297353CC}">
              <c16:uniqueId val="{00000002-D4D5-4205-8AD3-82F7C1161CCD}"/>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133840171798488E-4"/>
          <c:y val="0"/>
          <c:w val="0.99978661598282015"/>
          <c:h val="1"/>
        </c:manualLayout>
      </c:layout>
      <c:barChart>
        <c:barDir val="col"/>
        <c:grouping val="stacked"/>
        <c:varyColors val="0"/>
        <c:ser>
          <c:idx val="0"/>
          <c:order val="0"/>
          <c:tx>
            <c:strRef>
              <c:f>'Capitola C40 v1.0 r1'!$G$66</c:f>
              <c:strCache>
                <c:ptCount val="1"/>
                <c:pt idx="0">
                  <c:v>Existing - AOP</c:v>
                </c:pt>
              </c:strCache>
            </c:strRef>
          </c:tx>
          <c:spPr>
            <a:solidFill>
              <a:schemeClr val="accent1">
                <a:alpha val="70000"/>
              </a:schemeClr>
            </a:solidFill>
            <a:ln>
              <a:noFill/>
            </a:ln>
            <a:effectLst/>
          </c:spPr>
          <c:invertIfNegative val="0"/>
          <c:cat>
            <c:strRef>
              <c:f>'Capitola C40 v1.0 r1'!$H$5:$AI$5</c:f>
              <c:strCache>
                <c:ptCount val="20"/>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strCache>
            </c:strRef>
          </c:cat>
          <c:val>
            <c:numRef>
              <c:f>'Capitola C40 v1.0 r1'!$H$66:$AI$66</c:f>
              <c:numCache>
                <c:formatCode>_(* 0.0_);_(* \(0.0\);_(* ""??_);_(@_)</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95C-4E84-A71C-B98E0783694E}"/>
            </c:ext>
          </c:extLst>
        </c:ser>
        <c:ser>
          <c:idx val="3"/>
          <c:order val="1"/>
          <c:tx>
            <c:strRef>
              <c:f>'Capitola C40 v1.0 r1'!$G$67</c:f>
              <c:strCache>
                <c:ptCount val="1"/>
                <c:pt idx="0">
                  <c:v>Incremental - XCHG</c:v>
                </c:pt>
              </c:strCache>
            </c:strRef>
          </c:tx>
          <c:spPr>
            <a:solidFill>
              <a:schemeClr val="accent4">
                <a:alpha val="70000"/>
              </a:schemeClr>
            </a:solidFill>
            <a:ln>
              <a:noFill/>
            </a:ln>
            <a:effectLst/>
          </c:spPr>
          <c:invertIfNegative val="0"/>
          <c:cat>
            <c:strRef>
              <c:f>'Capitola C40 v1.0 r1'!$H$5:$AI$5</c:f>
              <c:strCache>
                <c:ptCount val="20"/>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strCache>
            </c:strRef>
          </c:cat>
          <c:val>
            <c:numRef>
              <c:f>'Capitola C40 v1.0 r1'!$H$67:$AI$67</c:f>
              <c:numCache>
                <c:formatCode>_(* 0.0_);_(* \(0.0\);_(* ""??_);_(@_)</c:formatCode>
                <c:ptCount val="20"/>
                <c:pt idx="0">
                  <c:v>0</c:v>
                </c:pt>
                <c:pt idx="1">
                  <c:v>0</c:v>
                </c:pt>
                <c:pt idx="2">
                  <c:v>4.5</c:v>
                </c:pt>
                <c:pt idx="3">
                  <c:v>8.6</c:v>
                </c:pt>
                <c:pt idx="4">
                  <c:v>27.5</c:v>
                </c:pt>
                <c:pt idx="5">
                  <c:v>40</c:v>
                </c:pt>
                <c:pt idx="6">
                  <c:v>46</c:v>
                </c:pt>
                <c:pt idx="7">
                  <c:v>50.5</c:v>
                </c:pt>
                <c:pt idx="8">
                  <c:v>54.5</c:v>
                </c:pt>
                <c:pt idx="9">
                  <c:v>72</c:v>
                </c:pt>
                <c:pt idx="10">
                  <c:v>71.999999999999986</c:v>
                </c:pt>
                <c:pt idx="11">
                  <c:v>72.5</c:v>
                </c:pt>
                <c:pt idx="12">
                  <c:v>55.5</c:v>
                </c:pt>
                <c:pt idx="13">
                  <c:v>50.5</c:v>
                </c:pt>
                <c:pt idx="14">
                  <c:v>42.5</c:v>
                </c:pt>
                <c:pt idx="15">
                  <c:v>31</c:v>
                </c:pt>
                <c:pt idx="16">
                  <c:v>7</c:v>
                </c:pt>
                <c:pt idx="17">
                  <c:v>0</c:v>
                </c:pt>
                <c:pt idx="18">
                  <c:v>0</c:v>
                </c:pt>
                <c:pt idx="19">
                  <c:v>0</c:v>
                </c:pt>
              </c:numCache>
            </c:numRef>
          </c:val>
          <c:extLst>
            <c:ext xmlns:c16="http://schemas.microsoft.com/office/drawing/2014/chart" uri="{C3380CC4-5D6E-409C-BE32-E72D297353CC}">
              <c16:uniqueId val="{00000000-10C3-4D97-8470-27E450AEB057}"/>
            </c:ext>
          </c:extLst>
        </c:ser>
        <c:dLbls>
          <c:showLegendKey val="0"/>
          <c:showVal val="0"/>
          <c:showCatName val="0"/>
          <c:showSerName val="0"/>
          <c:showPercent val="0"/>
          <c:showBubbleSize val="0"/>
        </c:dLbls>
        <c:gapWidth val="20"/>
        <c:overlap val="100"/>
        <c:axId val="792268463"/>
        <c:axId val="792269423"/>
      </c:barChart>
      <c:barChart>
        <c:barDir val="col"/>
        <c:grouping val="clustered"/>
        <c:varyColors val="0"/>
        <c:ser>
          <c:idx val="2"/>
          <c:order val="2"/>
          <c:tx>
            <c:strRef>
              <c:f>'Capitola C40 v1.0 r1'!$G$68</c:f>
              <c:strCache>
                <c:ptCount val="1"/>
                <c:pt idx="0">
                  <c:v>Grand Total</c:v>
                </c:pt>
              </c:strCache>
            </c:strRef>
          </c:tx>
          <c:spPr>
            <a:noFill/>
            <a:ln>
              <a:noFill/>
            </a:ln>
            <a:effectLst/>
          </c:spPr>
          <c:invertIfNegative val="0"/>
          <c:dLbls>
            <c:numFmt formatCode="_(* #,##0.0_);_(* \(#,##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'Capitola C40 v1.0 r1'!$H$5:$AI$5</c:f>
              <c:strCache>
                <c:ptCount val="20"/>
                <c:pt idx="0">
                  <c:v>Q126</c:v>
                </c:pt>
                <c:pt idx="1">
                  <c:v>Q226</c:v>
                </c:pt>
                <c:pt idx="2">
                  <c:v>Q326</c:v>
                </c:pt>
                <c:pt idx="3">
                  <c:v>Q426</c:v>
                </c:pt>
                <c:pt idx="4">
                  <c:v>Q127</c:v>
                </c:pt>
                <c:pt idx="5">
                  <c:v>Q227</c:v>
                </c:pt>
                <c:pt idx="6">
                  <c:v>Q327</c:v>
                </c:pt>
                <c:pt idx="7">
                  <c:v>Q427</c:v>
                </c:pt>
                <c:pt idx="8">
                  <c:v>Q128</c:v>
                </c:pt>
                <c:pt idx="9">
                  <c:v>Q228</c:v>
                </c:pt>
                <c:pt idx="10">
                  <c:v>Q328</c:v>
                </c:pt>
                <c:pt idx="11">
                  <c:v>Q428</c:v>
                </c:pt>
                <c:pt idx="12">
                  <c:v>Q129</c:v>
                </c:pt>
                <c:pt idx="13">
                  <c:v>Q229</c:v>
                </c:pt>
                <c:pt idx="14">
                  <c:v>Q329</c:v>
                </c:pt>
                <c:pt idx="15">
                  <c:v>Q429</c:v>
                </c:pt>
                <c:pt idx="16">
                  <c:v>Q130</c:v>
                </c:pt>
                <c:pt idx="17">
                  <c:v>Q230</c:v>
                </c:pt>
                <c:pt idx="18">
                  <c:v>Q330</c:v>
                </c:pt>
                <c:pt idx="19">
                  <c:v>Q430</c:v>
                </c:pt>
              </c:strCache>
            </c:strRef>
          </c:cat>
          <c:val>
            <c:numRef>
              <c:f>'Capitola C40 v1.0 r1'!$H$68:$AI$68</c:f>
              <c:numCache>
                <c:formatCode>_(* 0.0_);_(* \(0.0\);_(* ""??_);_(@_)</c:formatCode>
                <c:ptCount val="20"/>
                <c:pt idx="0">
                  <c:v>0</c:v>
                </c:pt>
                <c:pt idx="1">
                  <c:v>0</c:v>
                </c:pt>
                <c:pt idx="2">
                  <c:v>4.5</c:v>
                </c:pt>
                <c:pt idx="3">
                  <c:v>8.6</c:v>
                </c:pt>
                <c:pt idx="4">
                  <c:v>27.5</c:v>
                </c:pt>
                <c:pt idx="5">
                  <c:v>40</c:v>
                </c:pt>
                <c:pt idx="6">
                  <c:v>46</c:v>
                </c:pt>
                <c:pt idx="7">
                  <c:v>50.5</c:v>
                </c:pt>
                <c:pt idx="8">
                  <c:v>54.5</c:v>
                </c:pt>
                <c:pt idx="9">
                  <c:v>72</c:v>
                </c:pt>
                <c:pt idx="10">
                  <c:v>71.999999999999986</c:v>
                </c:pt>
                <c:pt idx="11">
                  <c:v>72.5</c:v>
                </c:pt>
                <c:pt idx="12">
                  <c:v>55.5</c:v>
                </c:pt>
                <c:pt idx="13">
                  <c:v>50.5</c:v>
                </c:pt>
                <c:pt idx="14">
                  <c:v>42.5</c:v>
                </c:pt>
                <c:pt idx="15">
                  <c:v>31</c:v>
                </c:pt>
                <c:pt idx="16">
                  <c:v>7</c:v>
                </c:pt>
                <c:pt idx="17">
                  <c:v>0</c:v>
                </c:pt>
                <c:pt idx="18">
                  <c:v>0</c:v>
                </c:pt>
                <c:pt idx="19">
                  <c:v>0</c:v>
                </c:pt>
              </c:numCache>
            </c:numRef>
          </c:val>
          <c:extLst>
            <c:ext xmlns:c16="http://schemas.microsoft.com/office/drawing/2014/chart" uri="{C3380CC4-5D6E-409C-BE32-E72D297353CC}">
              <c16:uniqueId val="{00000002-C95C-4E84-A71C-B98E0783694E}"/>
            </c:ext>
          </c:extLst>
        </c:ser>
        <c:dLbls>
          <c:showLegendKey val="0"/>
          <c:showVal val="1"/>
          <c:showCatName val="0"/>
          <c:showSerName val="0"/>
          <c:showPercent val="0"/>
          <c:showBubbleSize val="0"/>
        </c:dLbls>
        <c:gapWidth val="20"/>
        <c:axId val="1027617248"/>
        <c:axId val="1027615808"/>
      </c:barChart>
      <c:catAx>
        <c:axId val="792268463"/>
        <c:scaling>
          <c:orientation val="minMax"/>
        </c:scaling>
        <c:delete val="1"/>
        <c:axPos val="b"/>
        <c:numFmt formatCode="General" sourceLinked="1"/>
        <c:majorTickMark val="none"/>
        <c:minorTickMark val="none"/>
        <c:tickLblPos val="nextTo"/>
        <c:crossAx val="792269423"/>
        <c:crosses val="autoZero"/>
        <c:auto val="1"/>
        <c:lblAlgn val="ctr"/>
        <c:lblOffset val="100"/>
        <c:noMultiLvlLbl val="0"/>
      </c:catAx>
      <c:valAx>
        <c:axId val="792269423"/>
        <c:scaling>
          <c:orientation val="minMax"/>
        </c:scaling>
        <c:delete val="1"/>
        <c:axPos val="l"/>
        <c:numFmt formatCode="_(* 0.0_);_(* \(0.0\);_(* &quot;&quot;??_);_(@_)" sourceLinked="1"/>
        <c:majorTickMark val="none"/>
        <c:minorTickMark val="none"/>
        <c:tickLblPos val="nextTo"/>
        <c:crossAx val="792268463"/>
        <c:crosses val="autoZero"/>
        <c:crossBetween val="between"/>
      </c:valAx>
      <c:valAx>
        <c:axId val="1027615808"/>
        <c:scaling>
          <c:orientation val="minMax"/>
        </c:scaling>
        <c:delete val="1"/>
        <c:axPos val="r"/>
        <c:numFmt formatCode="_(* 0.0_);_(* \(0.0\);_(* &quot;&quot;??_);_(@_)" sourceLinked="1"/>
        <c:majorTickMark val="out"/>
        <c:minorTickMark val="none"/>
        <c:tickLblPos val="nextTo"/>
        <c:crossAx val="1027617248"/>
        <c:crosses val="max"/>
        <c:crossBetween val="between"/>
      </c:valAx>
      <c:catAx>
        <c:axId val="1027617248"/>
        <c:scaling>
          <c:orientation val="minMax"/>
        </c:scaling>
        <c:delete val="1"/>
        <c:axPos val="b"/>
        <c:numFmt formatCode="General" sourceLinked="1"/>
        <c:majorTickMark val="out"/>
        <c:minorTickMark val="none"/>
        <c:tickLblPos val="nextTo"/>
        <c:crossAx val="1027615808"/>
        <c:crosses val="autoZero"/>
        <c:auto val="1"/>
        <c:lblAlgn val="ctr"/>
        <c:lblOffset val="100"/>
        <c:noMultiLvlLbl val="0"/>
      </c:catAx>
      <c:spPr>
        <a:noFill/>
        <a:ln>
          <a:solidFill>
            <a:sysClr val="windowText" lastClr="000000"/>
          </a:solidFill>
        </a:ln>
        <a:effectLst/>
      </c:spPr>
    </c:plotArea>
    <c:legend>
      <c:legendPos val="tr"/>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35</xdr:col>
      <xdr:colOff>0</xdr:colOff>
      <xdr:row>2</xdr:row>
      <xdr:rowOff>1682</xdr:rowOff>
    </xdr:to>
    <xdr:graphicFrame macro="">
      <xdr:nvGraphicFramePr>
        <xdr:cNvPr id="2" name="Chart 1">
          <a:extLst>
            <a:ext uri="{FF2B5EF4-FFF2-40B4-BE49-F238E27FC236}">
              <a16:creationId xmlns:a16="http://schemas.microsoft.com/office/drawing/2014/main" id="{07F9D42B-3527-4286-8A4F-22152BA1B8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1</xdr:row>
      <xdr:rowOff>0</xdr:rowOff>
    </xdr:from>
    <xdr:to>
      <xdr:col>35</xdr:col>
      <xdr:colOff>0</xdr:colOff>
      <xdr:row>2</xdr:row>
      <xdr:rowOff>1682</xdr:rowOff>
    </xdr:to>
    <xdr:graphicFrame macro="">
      <xdr:nvGraphicFramePr>
        <xdr:cNvPr id="2" name="Chart 1">
          <a:extLst>
            <a:ext uri="{FF2B5EF4-FFF2-40B4-BE49-F238E27FC236}">
              <a16:creationId xmlns:a16="http://schemas.microsoft.com/office/drawing/2014/main" id="{B6463828-2D77-4B5A-8E3F-A0633F2FAC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0</xdr:colOff>
      <xdr:row>1</xdr:row>
      <xdr:rowOff>0</xdr:rowOff>
    </xdr:from>
    <xdr:to>
      <xdr:col>35</xdr:col>
      <xdr:colOff>0</xdr:colOff>
      <xdr:row>2</xdr:row>
      <xdr:rowOff>1682</xdr:rowOff>
    </xdr:to>
    <xdr:graphicFrame macro="">
      <xdr:nvGraphicFramePr>
        <xdr:cNvPr id="2" name="Chart 1">
          <a:extLst>
            <a:ext uri="{FF2B5EF4-FFF2-40B4-BE49-F238E27FC236}">
              <a16:creationId xmlns:a16="http://schemas.microsoft.com/office/drawing/2014/main" id="{B4750C2E-9BF8-4018-A046-6F874442E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1266825</xdr:colOff>
          <xdr:row>4</xdr:row>
          <xdr:rowOff>152400</xdr:rowOff>
        </xdr:from>
        <xdr:to>
          <xdr:col>12</xdr:col>
          <xdr:colOff>190500</xdr:colOff>
          <xdr:row>12</xdr:row>
          <xdr:rowOff>161925</xdr:rowOff>
        </xdr:to>
        <xdr:pic>
          <xdr:nvPicPr>
            <xdr:cNvPr id="3" name="Picture 2">
              <a:extLst>
                <a:ext uri="{FF2B5EF4-FFF2-40B4-BE49-F238E27FC236}">
                  <a16:creationId xmlns:a16="http://schemas.microsoft.com/office/drawing/2014/main" id="{D7385777-7B01-D6D3-E160-5375F69234BB}"/>
                </a:ext>
              </a:extLst>
            </xdr:cNvPr>
            <xdr:cNvPicPr>
              <a:picLocks noChangeAspect="1" noChangeArrowheads="1"/>
              <a:extLst>
                <a:ext uri="{84589F7E-364E-4C9E-8A38-B11213B215E9}">
                  <a14:cameraTool cellRange="$A$3:$D$10" spid="_x0000_s7297"/>
                </a:ext>
              </a:extLst>
            </xdr:cNvPicPr>
          </xdr:nvPicPr>
          <xdr:blipFill>
            <a:blip xmlns:r="http://schemas.openxmlformats.org/officeDocument/2006/relationships" r:embed="rId1"/>
            <a:srcRect/>
            <a:stretch>
              <a:fillRect/>
            </a:stretch>
          </xdr:blipFill>
          <xdr:spPr bwMode="auto">
            <a:xfrm>
              <a:off x="5791200" y="914400"/>
              <a:ext cx="4533900" cy="1533525"/>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2</xdr:col>
      <xdr:colOff>1495425</xdr:colOff>
      <xdr:row>0</xdr:row>
      <xdr:rowOff>542925</xdr:rowOff>
    </xdr:from>
    <xdr:to>
      <xdr:col>3</xdr:col>
      <xdr:colOff>562357</xdr:colOff>
      <xdr:row>0</xdr:row>
      <xdr:rowOff>2257664</xdr:rowOff>
    </xdr:to>
    <xdr:pic>
      <xdr:nvPicPr>
        <xdr:cNvPr id="8" name="Picture 7">
          <a:extLst>
            <a:ext uri="{FF2B5EF4-FFF2-40B4-BE49-F238E27FC236}">
              <a16:creationId xmlns:a16="http://schemas.microsoft.com/office/drawing/2014/main" id="{90F55018-7B0D-AA0F-A7C2-BF50C6FD61CE}"/>
            </a:ext>
          </a:extLst>
        </xdr:cNvPr>
        <xdr:cNvPicPr>
          <a:picLocks noChangeAspect="1"/>
        </xdr:cNvPicPr>
      </xdr:nvPicPr>
      <xdr:blipFill>
        <a:blip xmlns:r="http://schemas.openxmlformats.org/officeDocument/2006/relationships" r:embed="rId1"/>
        <a:stretch>
          <a:fillRect/>
        </a:stretch>
      </xdr:blipFill>
      <xdr:spPr>
        <a:xfrm>
          <a:off x="5886450" y="542925"/>
          <a:ext cx="2734057" cy="1714739"/>
        </a:xfrm>
        <a:prstGeom prst="rect">
          <a:avLst/>
        </a:prstGeom>
      </xdr:spPr>
    </xdr:pic>
    <xdr:clientData/>
  </xdr:twoCellAnchor>
  <xdr:twoCellAnchor>
    <xdr:from>
      <xdr:col>1</xdr:col>
      <xdr:colOff>3562350</xdr:colOff>
      <xdr:row>0</xdr:row>
      <xdr:rowOff>962025</xdr:rowOff>
    </xdr:from>
    <xdr:to>
      <xdr:col>2</xdr:col>
      <xdr:colOff>1285875</xdr:colOff>
      <xdr:row>0</xdr:row>
      <xdr:rowOff>2047875</xdr:rowOff>
    </xdr:to>
    <xdr:cxnSp macro="">
      <xdr:nvCxnSpPr>
        <xdr:cNvPr id="10" name="Connector: Elbow 9">
          <a:extLst>
            <a:ext uri="{FF2B5EF4-FFF2-40B4-BE49-F238E27FC236}">
              <a16:creationId xmlns:a16="http://schemas.microsoft.com/office/drawing/2014/main" id="{0778B0A5-14B9-929E-817D-209362D6C448}"/>
            </a:ext>
          </a:extLst>
        </xdr:cNvPr>
        <xdr:cNvCxnSpPr/>
      </xdr:nvCxnSpPr>
      <xdr:spPr>
        <a:xfrm>
          <a:off x="4057650" y="962025"/>
          <a:ext cx="1619250" cy="1085850"/>
        </a:xfrm>
        <a:prstGeom prst="bentConnector3">
          <a:avLst>
            <a:gd name="adj1" fmla="val 50000"/>
          </a:avLst>
        </a:prstGeom>
        <a:ln w="5715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114300</xdr:colOff>
      <xdr:row>3</xdr:row>
      <xdr:rowOff>57150</xdr:rowOff>
    </xdr:from>
    <xdr:to>
      <xdr:col>2</xdr:col>
      <xdr:colOff>2372040</xdr:colOff>
      <xdr:row>3</xdr:row>
      <xdr:rowOff>419151</xdr:rowOff>
    </xdr:to>
    <xdr:pic>
      <xdr:nvPicPr>
        <xdr:cNvPr id="2" name="Picture 1">
          <a:extLst>
            <a:ext uri="{FF2B5EF4-FFF2-40B4-BE49-F238E27FC236}">
              <a16:creationId xmlns:a16="http://schemas.microsoft.com/office/drawing/2014/main" id="{6B02A5ED-9910-4469-ABAE-56866651C64B}"/>
            </a:ext>
          </a:extLst>
        </xdr:cNvPr>
        <xdr:cNvPicPr>
          <a:picLocks noChangeAspect="1"/>
        </xdr:cNvPicPr>
      </xdr:nvPicPr>
      <xdr:blipFill>
        <a:blip xmlns:r="http://schemas.openxmlformats.org/officeDocument/2006/relationships" r:embed="rId1"/>
        <a:stretch>
          <a:fillRect/>
        </a:stretch>
      </xdr:blipFill>
      <xdr:spPr>
        <a:xfrm>
          <a:off x="4505325" y="3076575"/>
          <a:ext cx="2257740" cy="362001"/>
        </a:xfrm>
        <a:prstGeom prst="rect">
          <a:avLst/>
        </a:prstGeom>
      </xdr:spPr>
    </xdr:pic>
    <xdr:clientData/>
  </xdr:twoCellAnchor>
  <xdr:twoCellAnchor editAs="oneCell">
    <xdr:from>
      <xdr:col>2</xdr:col>
      <xdr:colOff>133350</xdr:colOff>
      <xdr:row>4</xdr:row>
      <xdr:rowOff>66675</xdr:rowOff>
    </xdr:from>
    <xdr:to>
      <xdr:col>2</xdr:col>
      <xdr:colOff>1600405</xdr:colOff>
      <xdr:row>4</xdr:row>
      <xdr:rowOff>409623</xdr:rowOff>
    </xdr:to>
    <xdr:pic>
      <xdr:nvPicPr>
        <xdr:cNvPr id="3" name="Picture 2">
          <a:extLst>
            <a:ext uri="{FF2B5EF4-FFF2-40B4-BE49-F238E27FC236}">
              <a16:creationId xmlns:a16="http://schemas.microsoft.com/office/drawing/2014/main" id="{B433B8B7-C1D4-4BA0-A5FB-28F213A7D35A}"/>
            </a:ext>
          </a:extLst>
        </xdr:cNvPr>
        <xdr:cNvPicPr>
          <a:picLocks noChangeAspect="1"/>
        </xdr:cNvPicPr>
      </xdr:nvPicPr>
      <xdr:blipFill>
        <a:blip xmlns:r="http://schemas.openxmlformats.org/officeDocument/2006/relationships" r:embed="rId2"/>
        <a:stretch>
          <a:fillRect/>
        </a:stretch>
      </xdr:blipFill>
      <xdr:spPr>
        <a:xfrm>
          <a:off x="4524375" y="3562350"/>
          <a:ext cx="1467055" cy="342948"/>
        </a:xfrm>
        <a:prstGeom prst="rect">
          <a:avLst/>
        </a:prstGeom>
      </xdr:spPr>
    </xdr:pic>
    <xdr:clientData/>
  </xdr:twoCellAnchor>
  <xdr:twoCellAnchor editAs="oneCell">
    <xdr:from>
      <xdr:col>2</xdr:col>
      <xdr:colOff>142875</xdr:colOff>
      <xdr:row>5</xdr:row>
      <xdr:rowOff>66676</xdr:rowOff>
    </xdr:from>
    <xdr:to>
      <xdr:col>2</xdr:col>
      <xdr:colOff>982980</xdr:colOff>
      <xdr:row>5</xdr:row>
      <xdr:rowOff>923926</xdr:rowOff>
    </xdr:to>
    <xdr:pic>
      <xdr:nvPicPr>
        <xdr:cNvPr id="4" name="Picture 3">
          <a:extLst>
            <a:ext uri="{FF2B5EF4-FFF2-40B4-BE49-F238E27FC236}">
              <a16:creationId xmlns:a16="http://schemas.microsoft.com/office/drawing/2014/main" id="{1C280AEB-CE79-4645-A579-1BAECD67C4FE}"/>
            </a:ext>
          </a:extLst>
        </xdr:cNvPr>
        <xdr:cNvPicPr>
          <a:picLocks noChangeAspect="1"/>
        </xdr:cNvPicPr>
      </xdr:nvPicPr>
      <xdr:blipFill>
        <a:blip xmlns:r="http://schemas.openxmlformats.org/officeDocument/2006/relationships" r:embed="rId3"/>
        <a:stretch>
          <a:fillRect/>
        </a:stretch>
      </xdr:blipFill>
      <xdr:spPr>
        <a:xfrm>
          <a:off x="4533900" y="4019551"/>
          <a:ext cx="840105" cy="857250"/>
        </a:xfrm>
        <a:prstGeom prst="rect">
          <a:avLst/>
        </a:prstGeom>
      </xdr:spPr>
    </xdr:pic>
    <xdr:clientData/>
  </xdr:twoCellAnchor>
  <xdr:twoCellAnchor editAs="oneCell">
    <xdr:from>
      <xdr:col>2</xdr:col>
      <xdr:colOff>57151</xdr:colOff>
      <xdr:row>6</xdr:row>
      <xdr:rowOff>57151</xdr:rowOff>
    </xdr:from>
    <xdr:to>
      <xdr:col>2</xdr:col>
      <xdr:colOff>3530517</xdr:colOff>
      <xdr:row>6</xdr:row>
      <xdr:rowOff>647701</xdr:rowOff>
    </xdr:to>
    <xdr:pic>
      <xdr:nvPicPr>
        <xdr:cNvPr id="5" name="Picture 4">
          <a:extLst>
            <a:ext uri="{FF2B5EF4-FFF2-40B4-BE49-F238E27FC236}">
              <a16:creationId xmlns:a16="http://schemas.microsoft.com/office/drawing/2014/main" id="{40AB5827-7852-4CDE-94D4-063D79D9DDF0}"/>
            </a:ext>
          </a:extLst>
        </xdr:cNvPr>
        <xdr:cNvPicPr>
          <a:picLocks noChangeAspect="1"/>
        </xdr:cNvPicPr>
      </xdr:nvPicPr>
      <xdr:blipFill>
        <a:blip xmlns:r="http://schemas.openxmlformats.org/officeDocument/2006/relationships" r:embed="rId4"/>
        <a:stretch>
          <a:fillRect/>
        </a:stretch>
      </xdr:blipFill>
      <xdr:spPr>
        <a:xfrm>
          <a:off x="4448176" y="4981576"/>
          <a:ext cx="3473366" cy="590550"/>
        </a:xfrm>
        <a:prstGeom prst="rect">
          <a:avLst/>
        </a:prstGeom>
      </xdr:spPr>
    </xdr:pic>
    <xdr:clientData/>
  </xdr:twoCellAnchor>
  <xdr:twoCellAnchor editAs="oneCell">
    <xdr:from>
      <xdr:col>2</xdr:col>
      <xdr:colOff>66675</xdr:colOff>
      <xdr:row>7</xdr:row>
      <xdr:rowOff>205501</xdr:rowOff>
    </xdr:from>
    <xdr:to>
      <xdr:col>2</xdr:col>
      <xdr:colOff>3600450</xdr:colOff>
      <xdr:row>7</xdr:row>
      <xdr:rowOff>669267</xdr:rowOff>
    </xdr:to>
    <xdr:pic>
      <xdr:nvPicPr>
        <xdr:cNvPr id="6" name="Picture 5">
          <a:extLst>
            <a:ext uri="{FF2B5EF4-FFF2-40B4-BE49-F238E27FC236}">
              <a16:creationId xmlns:a16="http://schemas.microsoft.com/office/drawing/2014/main" id="{2BDF3237-5866-4221-A8B9-574F310FAA68}"/>
            </a:ext>
          </a:extLst>
        </xdr:cNvPr>
        <xdr:cNvPicPr>
          <a:picLocks noChangeAspect="1"/>
        </xdr:cNvPicPr>
      </xdr:nvPicPr>
      <xdr:blipFill>
        <a:blip xmlns:r="http://schemas.openxmlformats.org/officeDocument/2006/relationships" r:embed="rId5"/>
        <a:stretch>
          <a:fillRect/>
        </a:stretch>
      </xdr:blipFill>
      <xdr:spPr>
        <a:xfrm>
          <a:off x="4457700" y="5815726"/>
          <a:ext cx="3533775" cy="463766"/>
        </a:xfrm>
        <a:prstGeom prst="rect">
          <a:avLst/>
        </a:prstGeom>
      </xdr:spPr>
    </xdr:pic>
    <xdr:clientData/>
  </xdr:twoCellAnchor>
  <xdr:twoCellAnchor editAs="oneCell">
    <xdr:from>
      <xdr:col>2</xdr:col>
      <xdr:colOff>285750</xdr:colOff>
      <xdr:row>7</xdr:row>
      <xdr:rowOff>783779</xdr:rowOff>
    </xdr:from>
    <xdr:to>
      <xdr:col>2</xdr:col>
      <xdr:colOff>3305648</xdr:colOff>
      <xdr:row>7</xdr:row>
      <xdr:rowOff>1038265</xdr:rowOff>
    </xdr:to>
    <xdr:pic>
      <xdr:nvPicPr>
        <xdr:cNvPr id="7" name="Picture 6">
          <a:extLst>
            <a:ext uri="{FF2B5EF4-FFF2-40B4-BE49-F238E27FC236}">
              <a16:creationId xmlns:a16="http://schemas.microsoft.com/office/drawing/2014/main" id="{7525F2EE-4BFA-42FF-957A-9BBDB50C46BE}"/>
            </a:ext>
          </a:extLst>
        </xdr:cNvPr>
        <xdr:cNvPicPr>
          <a:picLocks noChangeAspect="1"/>
        </xdr:cNvPicPr>
      </xdr:nvPicPr>
      <xdr:blipFill>
        <a:blip xmlns:r="http://schemas.openxmlformats.org/officeDocument/2006/relationships" r:embed="rId6"/>
        <a:stretch>
          <a:fillRect/>
        </a:stretch>
      </xdr:blipFill>
      <xdr:spPr>
        <a:xfrm>
          <a:off x="4676775" y="6394004"/>
          <a:ext cx="3019898" cy="2544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13</xdr:col>
      <xdr:colOff>685800</xdr:colOff>
      <xdr:row>40</xdr:row>
      <xdr:rowOff>85725</xdr:rowOff>
    </xdr:from>
    <xdr:to>
      <xdr:col>14</xdr:col>
      <xdr:colOff>95250</xdr:colOff>
      <xdr:row>43</xdr:row>
      <xdr:rowOff>76200</xdr:rowOff>
    </xdr:to>
    <xdr:cxnSp macro="">
      <xdr:nvCxnSpPr>
        <xdr:cNvPr id="4" name="Straight Arrow Connector 3">
          <a:extLst>
            <a:ext uri="{FF2B5EF4-FFF2-40B4-BE49-F238E27FC236}">
              <a16:creationId xmlns:a16="http://schemas.microsoft.com/office/drawing/2014/main" id="{8BED5745-B867-92F4-47E8-894D2824CEF6}"/>
            </a:ext>
          </a:extLst>
        </xdr:cNvPr>
        <xdr:cNvCxnSpPr/>
      </xdr:nvCxnSpPr>
      <xdr:spPr>
        <a:xfrm flipH="1" flipV="1">
          <a:off x="11591925" y="7705725"/>
          <a:ext cx="1114425" cy="561975"/>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wpmo.amd.com/WebPMO/sites/PMO/Internal/Allocation%20File%20Owners.xlsx" TargetMode="External"/><Relationship Id="rId1" Type="http://schemas.openxmlformats.org/officeDocument/2006/relationships/externalLinkPath" Target="https://swpmo.amd.com/WebPMO/sites/PMO/Internal/Allocation%20File%20Owner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wpmo.amd.com/WebPMO/sites/PMO/Internal/Top%20Level%20Leaders%20tracker.xlsx" TargetMode="External"/><Relationship Id="rId1" Type="http://schemas.openxmlformats.org/officeDocument/2006/relationships/externalLinkPath" Target="https://swpmo.amd.com/WebPMO/sites/PMO/Internal/Top%20Level%20Leaders%20track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active Alloc_Files"/>
      <sheetName val="Active Alloc_Files"/>
      <sheetName val="Project Center 2021.02.02"/>
      <sheetName val="Project Server List_2020.11.10"/>
      <sheetName val="Project Center 2020.12.17"/>
      <sheetName val="email of allocation file owners"/>
    </sheetNames>
    <sheetDataSet>
      <sheetData sheetId="0" refreshError="1"/>
      <sheetData sheetId="1">
        <row r="1">
          <cell r="A1" t="str">
            <v xml:space="preserve">Updated: </v>
          </cell>
        </row>
        <row r="3">
          <cell r="A3" t="str">
            <v>alloc_Adv Rendering Research</v>
          </cell>
          <cell r="H3" t="str">
            <v>AlexA</v>
          </cell>
        </row>
        <row r="4">
          <cell r="A4" t="str">
            <v>alloc_BTSR</v>
          </cell>
          <cell r="H4" t="str">
            <v>Chris</v>
          </cell>
        </row>
        <row r="5">
          <cell r="A5" t="str">
            <v>alloc_CE Markham</v>
          </cell>
          <cell r="H5" t="str">
            <v>Matthias</v>
          </cell>
        </row>
        <row r="6">
          <cell r="A6" t="str">
            <v>alloc_CG 3D Performance</v>
          </cell>
          <cell r="H6" t="str">
            <v>Rodney</v>
          </cell>
        </row>
        <row r="7">
          <cell r="A7" t="str">
            <v>alloc_CG 3D Staff</v>
          </cell>
          <cell r="H7" t="str">
            <v>Rodney</v>
          </cell>
        </row>
        <row r="8">
          <cell r="A8" t="str">
            <v>alloc_CG 3D Tools</v>
          </cell>
          <cell r="H8" t="str">
            <v>Rodney</v>
          </cell>
        </row>
        <row r="9">
          <cell r="A9" t="str">
            <v>alloc_CG PAL</v>
          </cell>
          <cell r="H9" t="str">
            <v>Rodney</v>
          </cell>
        </row>
        <row r="10">
          <cell r="A10" t="str">
            <v>alloc_CG ShaderCompiler</v>
          </cell>
          <cell r="H10" t="str">
            <v>Rodney</v>
          </cell>
        </row>
        <row r="11">
          <cell r="A11" t="str">
            <v>alloc_CP</v>
          </cell>
          <cell r="H11" t="str">
            <v>Chris</v>
          </cell>
        </row>
        <row r="12">
          <cell r="A12" t="str">
            <v>alloc_CSE_CEPM</v>
          </cell>
          <cell r="H12" t="str">
            <v>Matthias</v>
          </cell>
        </row>
        <row r="13">
          <cell r="A13" t="str">
            <v>alloc_CSE_CoreSW</v>
          </cell>
          <cell r="H13" t="str">
            <v>Matthias</v>
          </cell>
        </row>
        <row r="14">
          <cell r="A14" t="str">
            <v>alloc_CSE_CPMCN</v>
          </cell>
          <cell r="H14" t="str">
            <v>Matthias</v>
          </cell>
        </row>
        <row r="15">
          <cell r="A15" t="str">
            <v>alloc_CSE_CPMTW</v>
          </cell>
          <cell r="H15" t="str">
            <v>Matthias</v>
          </cell>
        </row>
        <row r="16">
          <cell r="A16" t="str">
            <v>alloc_CSE_Management</v>
          </cell>
          <cell r="H16" t="str">
            <v>Matthias</v>
          </cell>
        </row>
        <row r="17">
          <cell r="A17" t="str">
            <v>alloc_CSE_Strategic</v>
          </cell>
          <cell r="H17" t="str">
            <v>Matthias</v>
          </cell>
        </row>
        <row r="18">
          <cell r="A18" t="str">
            <v>alloc_CSE_SWAE</v>
          </cell>
          <cell r="H18" t="str">
            <v>Matthias</v>
          </cell>
        </row>
        <row r="19">
          <cell r="A19" t="str">
            <v>alloc_CSE_TL</v>
          </cell>
          <cell r="H19" t="str">
            <v>Matthias</v>
          </cell>
        </row>
        <row r="20">
          <cell r="A20" t="str">
            <v>alloc_D3D</v>
          </cell>
          <cell r="H20" t="str">
            <v>Rodney</v>
          </cell>
        </row>
        <row r="21">
          <cell r="A21" t="str">
            <v>alloc_D3D QE IND</v>
          </cell>
          <cell r="H21" t="str">
            <v>Rodney</v>
          </cell>
        </row>
        <row r="22">
          <cell r="A22" t="str">
            <v>alloc_devtools</v>
          </cell>
          <cell r="H22" t="str">
            <v>Caixia</v>
          </cell>
        </row>
        <row r="23">
          <cell r="A23" t="str">
            <v>alloc_Display Solution_AlexS</v>
          </cell>
          <cell r="H23" t="str">
            <v>Syed</v>
          </cell>
        </row>
        <row r="24">
          <cell r="A24" t="str">
            <v>alloc_Display Solution_CharlieW</v>
          </cell>
          <cell r="H24" t="str">
            <v>Syed</v>
          </cell>
        </row>
        <row r="25">
          <cell r="A25" t="str">
            <v>alloc_Display Solution_EricC</v>
          </cell>
          <cell r="H25" t="str">
            <v>Syed</v>
          </cell>
        </row>
        <row r="26">
          <cell r="A26" t="str">
            <v>alloc_Display Solution_JagM</v>
          </cell>
          <cell r="H26" t="str">
            <v>Syed</v>
          </cell>
        </row>
        <row r="27">
          <cell r="A27" t="str">
            <v>alloc_Display Solution_MazenS</v>
          </cell>
          <cell r="H27" t="str">
            <v>Syed</v>
          </cell>
        </row>
        <row r="28">
          <cell r="A28" t="str">
            <v>alloc_Display Solution_MichaelV</v>
          </cell>
          <cell r="H28" t="str">
            <v>Syed</v>
          </cell>
        </row>
        <row r="29">
          <cell r="A29" t="str">
            <v>alloc_Display Solution_NikolaC</v>
          </cell>
          <cell r="H29" t="str">
            <v>Syed</v>
          </cell>
        </row>
        <row r="30">
          <cell r="A30" t="str">
            <v>alloc_Display_MM_VP_Direct Reports</v>
          </cell>
          <cell r="H30" t="str">
            <v>Syed</v>
          </cell>
        </row>
        <row r="31">
          <cell r="A31" t="str">
            <v>alloc_Gaming_Engineering</v>
          </cell>
          <cell r="H31" t="str">
            <v>Syed</v>
          </cell>
        </row>
        <row r="32">
          <cell r="A32" t="str">
            <v>alloc_Media Tech Solutions</v>
          </cell>
        </row>
        <row r="33">
          <cell r="A33" t="str">
            <v>alloc_MLS_Linux_1</v>
          </cell>
          <cell r="H33" t="str">
            <v>Chris</v>
          </cell>
        </row>
        <row r="34">
          <cell r="A34" t="str">
            <v>alloc_MLS_Linux_2</v>
          </cell>
          <cell r="H34" t="str">
            <v>Chris</v>
          </cell>
        </row>
        <row r="35">
          <cell r="A35" t="str">
            <v>alloc_MLS_Linux_3</v>
          </cell>
          <cell r="H35" t="str">
            <v>Chris</v>
          </cell>
        </row>
        <row r="36">
          <cell r="A36" t="str">
            <v>alloc_MLS_Linux_4</v>
          </cell>
          <cell r="H36" t="str">
            <v>Chris</v>
          </cell>
        </row>
        <row r="37">
          <cell r="A37" t="str">
            <v>alloc_mmdrivers_video_encode</v>
          </cell>
          <cell r="H37" t="str">
            <v>Syed</v>
          </cell>
        </row>
        <row r="38">
          <cell r="A38" t="str">
            <v>alloc_mmdrivers_video_playback_pipelines</v>
          </cell>
          <cell r="H38" t="str">
            <v>Syed</v>
          </cell>
        </row>
        <row r="39">
          <cell r="A39" t="str">
            <v>alloc_Khronos3D_Asia</v>
          </cell>
          <cell r="H39" t="str">
            <v>Rodney</v>
          </cell>
        </row>
        <row r="40">
          <cell r="A40" t="str">
            <v>alloc_Khronos3D_NA_EU</v>
          </cell>
          <cell r="H40" t="str">
            <v>Rodney</v>
          </cell>
        </row>
        <row r="41">
          <cell r="A41" t="str">
            <v>alloc_openglCQE_indiaHyd</v>
          </cell>
          <cell r="H41" t="str">
            <v>Rodney</v>
          </cell>
        </row>
        <row r="42">
          <cell r="A42" t="str">
            <v>alloc_OS_MUL_Security_Kernel_BLR</v>
          </cell>
          <cell r="H42" t="str">
            <v>Chris</v>
          </cell>
        </row>
        <row r="43">
          <cell r="A43" t="str">
            <v>alloc_PFO_PM_Arch</v>
          </cell>
          <cell r="H43" t="str">
            <v>Chris</v>
          </cell>
        </row>
        <row r="44">
          <cell r="A44" t="str">
            <v>alloc_PMFW</v>
          </cell>
          <cell r="H44" t="str">
            <v>Chris</v>
          </cell>
        </row>
        <row r="45">
          <cell r="A45" t="str">
            <v>alloc_PMO Common_BrianW</v>
          </cell>
          <cell r="H45" t="str">
            <v>Matthias</v>
          </cell>
        </row>
        <row r="46">
          <cell r="A46" t="str">
            <v>alloc_PMO Common_PaulM</v>
          </cell>
          <cell r="H46" t="str">
            <v>Matthias</v>
          </cell>
        </row>
        <row r="47">
          <cell r="A47" t="str">
            <v>alloc_PMO Common_SharmilyB</v>
          </cell>
          <cell r="H47" t="str">
            <v>Matthias</v>
          </cell>
        </row>
        <row r="48">
          <cell r="A48" t="str">
            <v>alloc_PMO Common_VithalP</v>
          </cell>
          <cell r="H48" t="str">
            <v>Matthias</v>
          </cell>
        </row>
        <row r="49">
          <cell r="A49" t="str">
            <v>alloc_PPL_ATG</v>
          </cell>
          <cell r="H49" t="str">
            <v>Chris</v>
          </cell>
        </row>
        <row r="50">
          <cell r="A50" t="str">
            <v>alloc_PPL_Virtualization</v>
          </cell>
          <cell r="H50" t="str">
            <v>Chris</v>
          </cell>
        </row>
        <row r="51">
          <cell r="A51" t="str">
            <v>alloc_Product Security</v>
          </cell>
          <cell r="H51" t="str">
            <v>Hugo</v>
          </cell>
        </row>
        <row r="52">
          <cell r="A52" t="str">
            <v>alloc_Program Management_JonB</v>
          </cell>
          <cell r="H52" t="str">
            <v>Matthias</v>
          </cell>
        </row>
        <row r="53">
          <cell r="A53" t="str">
            <v>alloc_Program Management_SW Client and NOI</v>
          </cell>
          <cell r="H53" t="str">
            <v>Matthias</v>
          </cell>
        </row>
        <row r="54">
          <cell r="A54" t="str">
            <v>alloc_Program Management_VioF</v>
          </cell>
          <cell r="H54" t="str">
            <v>Matthias</v>
          </cell>
        </row>
        <row r="55">
          <cell r="A55" t="str">
            <v>alloc_Program Management_StefanT</v>
          </cell>
          <cell r="H55" t="str">
            <v>Matthias</v>
          </cell>
        </row>
        <row r="56">
          <cell r="A56" t="str">
            <v>alloc_Program Management_AlejandroR</v>
          </cell>
          <cell r="H56" t="str">
            <v>Matthias</v>
          </cell>
        </row>
        <row r="57">
          <cell r="A57" t="str">
            <v>alloc_Program Management_DerekY</v>
          </cell>
          <cell r="H57" t="str">
            <v>Matthias</v>
          </cell>
        </row>
        <row r="58">
          <cell r="A58" t="str">
            <v>alloc_PSPSecurity_MKM</v>
          </cell>
          <cell r="H58" t="str">
            <v>Chris</v>
          </cell>
        </row>
        <row r="59">
          <cell r="A59" t="str">
            <v>alloc_RLC</v>
          </cell>
          <cell r="H59" t="str">
            <v>Chris</v>
          </cell>
        </row>
        <row r="60">
          <cell r="A60" t="str">
            <v>alloc_Software Technologies</v>
          </cell>
          <cell r="H60" t="str">
            <v>Jeffrey</v>
          </cell>
        </row>
        <row r="61">
          <cell r="A61" t="str">
            <v>alloc_SPIO</v>
          </cell>
          <cell r="H61" t="str">
            <v>Chris</v>
          </cell>
        </row>
        <row r="62">
          <cell r="A62" t="str">
            <v>alloc_SQA Client APU</v>
          </cell>
          <cell r="H62" t="str">
            <v>Stephen</v>
          </cell>
        </row>
        <row r="63">
          <cell r="A63" t="str">
            <v>alloc_SQA Core and Common Services</v>
          </cell>
          <cell r="H63" t="str">
            <v>Stephen</v>
          </cell>
        </row>
        <row r="64">
          <cell r="A64" t="str">
            <v>alloc_SQA GW dGPU</v>
          </cell>
          <cell r="H64" t="str">
            <v>Stephen</v>
          </cell>
        </row>
        <row r="65">
          <cell r="A65" t="str">
            <v>alloc_SQA Product Support and Enablement</v>
          </cell>
          <cell r="H65" t="str">
            <v>Stephen</v>
          </cell>
        </row>
        <row r="66">
          <cell r="A66" t="str">
            <v>alloc_SQA Solutions</v>
          </cell>
          <cell r="H66" t="str">
            <v>Stephen</v>
          </cell>
        </row>
        <row r="67">
          <cell r="A67" t="str">
            <v>alloc_SQA CVSAI</v>
          </cell>
          <cell r="H67" t="str">
            <v>Stephen</v>
          </cell>
        </row>
        <row r="68">
          <cell r="A68" t="str">
            <v>alloc_SWDEV_HYD_MM_Audio_NonWin</v>
          </cell>
          <cell r="H68" t="str">
            <v>Syed</v>
          </cell>
        </row>
        <row r="69">
          <cell r="A69" t="str">
            <v>alloc_SWDEV_HYD_MM_Audio_Win</v>
          </cell>
          <cell r="H69" t="str">
            <v>Syed</v>
          </cell>
        </row>
        <row r="70">
          <cell r="A70" t="str">
            <v>alloc_SWDEV_HYD_MM_Video</v>
          </cell>
          <cell r="H70" t="str">
            <v>Syed</v>
          </cell>
        </row>
        <row r="71">
          <cell r="A71" t="str">
            <v>alloc_SWInfra_IND</v>
          </cell>
          <cell r="H71" t="str">
            <v>Stephen</v>
          </cell>
        </row>
        <row r="72">
          <cell r="A72" t="str">
            <v>alloc_swinfra_na</v>
          </cell>
          <cell r="H72" t="str">
            <v>Stephen</v>
          </cell>
        </row>
        <row r="73">
          <cell r="A73" t="str">
            <v>alloc_swrelman</v>
          </cell>
          <cell r="H73" t="str">
            <v>Stephen</v>
          </cell>
        </row>
        <row r="74">
          <cell r="A74" t="str">
            <v>alloc_ux</v>
          </cell>
          <cell r="H74" t="str">
            <v>Terry</v>
          </cell>
        </row>
        <row r="75">
          <cell r="A75" t="str">
            <v>alloc_VBL</v>
          </cell>
          <cell r="H75" t="str">
            <v>Chris</v>
          </cell>
        </row>
        <row r="76">
          <cell r="A76" t="str">
            <v>alloc_VPs_DirectReports</v>
          </cell>
          <cell r="H76" t="str">
            <v>Chris</v>
          </cell>
        </row>
        <row r="77">
          <cell r="A77" t="str">
            <v>alloc_WSPG_BG_KMD_CORE</v>
          </cell>
          <cell r="H77" t="str">
            <v>Chris</v>
          </cell>
        </row>
        <row r="78">
          <cell r="A78" t="str">
            <v>alloc_WSPG_BG_KMD_Hyderabad</v>
          </cell>
          <cell r="H78" t="str">
            <v>Chris</v>
          </cell>
        </row>
        <row r="79">
          <cell r="A79" t="str">
            <v>alloc_WSPG_BG_KMD_Solutions_CAN</v>
          </cell>
          <cell r="H79" t="str">
            <v>Chris</v>
          </cell>
        </row>
        <row r="80">
          <cell r="A80" t="str">
            <v>alloc_WSPG_BG_KMD_SRDC</v>
          </cell>
          <cell r="H80" t="str">
            <v>Chris</v>
          </cell>
        </row>
        <row r="81">
          <cell r="A81" t="str">
            <v>alloc_WSPG_BG_Leadership</v>
          </cell>
          <cell r="H81" t="str">
            <v>Chris</v>
          </cell>
        </row>
        <row r="82">
          <cell r="A82" t="str">
            <v>alloc_WSPG_BG_System and Power</v>
          </cell>
          <cell r="H82" t="str">
            <v>Chris</v>
          </cell>
        </row>
        <row r="83">
          <cell r="A83" t="str">
            <v>alloc_WSPG_BG_Test and Tools</v>
          </cell>
          <cell r="H83" t="str">
            <v>Chris</v>
          </cell>
        </row>
        <row r="84">
          <cell r="A84" t="str">
            <v>alloc_WSPG_MsftInterface</v>
          </cell>
          <cell r="H84" t="str">
            <v>Chris</v>
          </cell>
        </row>
        <row r="85">
          <cell r="A85" t="str">
            <v>alloc_WSPG_PM_TL</v>
          </cell>
          <cell r="H85" t="str">
            <v>Chris</v>
          </cell>
        </row>
        <row r="86">
          <cell r="A86" t="str">
            <v>alloc_WSPG_QE_Core</v>
          </cell>
          <cell r="H86" t="str">
            <v>Chris</v>
          </cell>
        </row>
        <row r="87">
          <cell r="A87" t="str">
            <v>alloc_WSPG_QE_HYD</v>
          </cell>
          <cell r="H87" t="str">
            <v>Chris</v>
          </cell>
        </row>
        <row r="88">
          <cell r="A88" t="str">
            <v>alloc_WSPG_QE_MKM</v>
          </cell>
          <cell r="H88" t="str">
            <v>Chris</v>
          </cell>
        </row>
        <row r="89">
          <cell r="A89" t="str">
            <v>alloc_WSPG_QE_SRDC</v>
          </cell>
          <cell r="H89" t="str">
            <v>Chris</v>
          </cell>
        </row>
        <row r="90">
          <cell r="A90" t="str">
            <v>alloc_WSPG_QE_Stability_NTI</v>
          </cell>
          <cell r="H90" t="str">
            <v>Chris</v>
          </cell>
        </row>
        <row r="91">
          <cell r="A91" t="str">
            <v>alloc_WSPG_QE_TnD_NOI</v>
          </cell>
          <cell r="H91" t="str">
            <v>Chris</v>
          </cell>
        </row>
        <row r="92">
          <cell r="A92" t="str">
            <v>alloc_Program Management_ReyE</v>
          </cell>
          <cell r="H92" t="str">
            <v>Matthias</v>
          </cell>
        </row>
        <row r="93">
          <cell r="A93" t="str">
            <v>alloc_Platform SW Arch</v>
          </cell>
          <cell r="H93" t="str">
            <v>Chris</v>
          </cell>
        </row>
        <row r="94">
          <cell r="A94" t="str">
            <v>alloc_Display Solution_VladmirVelenta</v>
          </cell>
          <cell r="H94" t="str">
            <v>Syed</v>
          </cell>
        </row>
        <row r="95">
          <cell r="A95" t="str">
            <v>alloc_CG 3D Drivers and Compilers</v>
          </cell>
          <cell r="H95" t="str">
            <v>Chris</v>
          </cell>
        </row>
        <row r="96">
          <cell r="A96" t="str">
            <v>alloc_CG 3D Architect</v>
          </cell>
          <cell r="H96" t="str">
            <v>Rodney</v>
          </cell>
        </row>
        <row r="97">
          <cell r="A97" t="str">
            <v>alloc_PMO_Test</v>
          </cell>
          <cell r="H97" t="str">
            <v>Rodney</v>
          </cell>
        </row>
        <row r="98">
          <cell r="A98" t="str">
            <v>alloc_PMO_Test</v>
          </cell>
        </row>
        <row r="99">
          <cell r="A99" t="str">
            <v>alloc_Template</v>
          </cell>
        </row>
        <row r="100">
          <cell r="A100" t="str">
            <v>alloc_Display_MM_VP_Direct Reports</v>
          </cell>
        </row>
      </sheetData>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2 All Entries"/>
      <sheetName val="Directors"/>
      <sheetName val="Top Level Leaders tracker"/>
    </sheetNames>
    <sheetDataSet>
      <sheetData sheetId="0"/>
      <sheetData sheetId="1">
        <row r="1">
          <cell r="F1"/>
        </row>
        <row r="2">
          <cell r="B2" t="str">
            <v>Top-Level Team Name</v>
          </cell>
          <cell r="J2" t="str">
            <v>CVP</v>
          </cell>
        </row>
        <row r="3">
          <cell r="B3" t="str">
            <v>SPG_Operations</v>
          </cell>
          <cell r="J3" t="str">
            <v>Matthias</v>
          </cell>
        </row>
        <row r="4">
          <cell r="B4" t="str">
            <v>SPG_Customer Eng</v>
          </cell>
          <cell r="J4" t="str">
            <v>Matthias</v>
          </cell>
        </row>
        <row r="5">
          <cell r="B5" t="str">
            <v>SPG_SSE Infrastructure</v>
          </cell>
          <cell r="J5" t="str">
            <v>Stephen</v>
          </cell>
        </row>
        <row r="6">
          <cell r="B6" t="str">
            <v>SPG_SSE QA</v>
          </cell>
          <cell r="J6" t="str">
            <v>Stephen</v>
          </cell>
        </row>
        <row r="7">
          <cell r="B7" t="str">
            <v>SPG_SSE RM</v>
          </cell>
          <cell r="J7" t="str">
            <v>Stephen</v>
          </cell>
        </row>
        <row r="8">
          <cell r="B8" t="str">
            <v>SPG_Display NPI</v>
          </cell>
          <cell r="J8" t="str">
            <v>Syed</v>
          </cell>
        </row>
        <row r="9">
          <cell r="B9" t="str">
            <v>SPG_VPE &amp; DisplayNTI</v>
          </cell>
          <cell r="J9" t="str">
            <v>Syed</v>
          </cell>
        </row>
        <row r="10">
          <cell r="B10" t="str">
            <v>SPG_MM Video NPI</v>
          </cell>
          <cell r="J10" t="str">
            <v>Syed</v>
          </cell>
        </row>
        <row r="11">
          <cell r="B11" t="str">
            <v>SPG_MM Video NTI</v>
          </cell>
          <cell r="J11" t="str">
            <v>Syed</v>
          </cell>
        </row>
        <row r="12">
          <cell r="B12" t="str">
            <v>SPG_MM Audio</v>
          </cell>
          <cell r="J12" t="str">
            <v>Syed</v>
          </cell>
        </row>
        <row r="13">
          <cell r="B13" t="str">
            <v>SPG_HYD Graphics CQE</v>
          </cell>
          <cell r="J13" t="str">
            <v>Rodney</v>
          </cell>
        </row>
        <row r="14">
          <cell r="B14" t="str">
            <v>SPG_3D_Perf_Arch</v>
          </cell>
          <cell r="J14" t="str">
            <v>Rodney</v>
          </cell>
        </row>
        <row r="15">
          <cell r="B15" t="str">
            <v>SPG_Khronos3D</v>
          </cell>
          <cell r="J15" t="str">
            <v>Rodney</v>
          </cell>
        </row>
        <row r="16">
          <cell r="B16" t="str">
            <v>SPG_PAL</v>
          </cell>
          <cell r="J16" t="str">
            <v>Rodney</v>
          </cell>
        </row>
        <row r="17">
          <cell r="B17" t="str">
            <v>SPG_D3D</v>
          </cell>
          <cell r="J17" t="str">
            <v>Rodney</v>
          </cell>
        </row>
        <row r="18">
          <cell r="B18" t="str">
            <v>SPG_Mac 3D</v>
          </cell>
          <cell r="J18" t="str">
            <v>Rodney</v>
          </cell>
        </row>
        <row r="19">
          <cell r="B19" t="str">
            <v>SPG_ShaderCompiler</v>
          </cell>
          <cell r="J19" t="str">
            <v>Rodney</v>
          </cell>
        </row>
        <row r="20">
          <cell r="B20" t="str">
            <v>SPG_Roadmap Installer User Experience</v>
          </cell>
          <cell r="J20" t="str">
            <v>Terry</v>
          </cell>
        </row>
        <row r="21">
          <cell r="B21" t="str">
            <v>SPG_Mac Platform</v>
          </cell>
          <cell r="J21" t="str">
            <v>Matthias</v>
          </cell>
        </row>
        <row r="22">
          <cell r="B22" t="str">
            <v>SPG_DevEng</v>
          </cell>
          <cell r="J22" t="str">
            <v>CarlosS</v>
          </cell>
        </row>
        <row r="23">
          <cell r="B23" t="str">
            <v>SPG_SPIO</v>
          </cell>
          <cell r="J23" t="str">
            <v>Chris</v>
          </cell>
        </row>
        <row r="24">
          <cell r="B24" t="str">
            <v>SPG_PMFW</v>
          </cell>
          <cell r="J24" t="str">
            <v>Chris</v>
          </cell>
        </row>
        <row r="25">
          <cell r="B25" t="str">
            <v>SPG_VBIOS RLC</v>
          </cell>
          <cell r="J25" t="str">
            <v>Chris</v>
          </cell>
        </row>
        <row r="26">
          <cell r="B26" t="str">
            <v>SPG_VBIOS CP</v>
          </cell>
          <cell r="J26" t="str">
            <v>Chris</v>
          </cell>
        </row>
        <row r="27">
          <cell r="B27" t="str">
            <v>SPG_VBIOS VBL</v>
          </cell>
          <cell r="J27" t="str">
            <v>Chris</v>
          </cell>
        </row>
        <row r="28">
          <cell r="B28" t="str">
            <v>SPG_VBIOS</v>
          </cell>
          <cell r="J28"/>
        </row>
        <row r="29">
          <cell r="B29" t="str">
            <v>SPG_Platform Virtualization</v>
          </cell>
          <cell r="J29" t="str">
            <v>Chris</v>
          </cell>
        </row>
        <row r="30">
          <cell r="B30" t="str">
            <v>SPG_FWProgMgmt</v>
          </cell>
          <cell r="J30" t="str">
            <v>Chris</v>
          </cell>
        </row>
        <row r="31">
          <cell r="B31" t="str">
            <v>SPG_Architecture and Sys IP</v>
          </cell>
          <cell r="J31"/>
        </row>
        <row r="32">
          <cell r="B32" t="str">
            <v>SPG_Platform Security</v>
          </cell>
          <cell r="J32" t="str">
            <v>Chris</v>
          </cell>
        </row>
        <row r="33">
          <cell r="B33" t="str">
            <v>SPG_Platform Windows</v>
          </cell>
          <cell r="J33" t="str">
            <v>Chris</v>
          </cell>
        </row>
        <row r="34">
          <cell r="B34" t="str">
            <v>SPG_Platform_Linux</v>
          </cell>
          <cell r="J34" t="str">
            <v>Chris</v>
          </cell>
        </row>
        <row r="35">
          <cell r="B35" t="str">
            <v>SPG_Platform SW Arch</v>
          </cell>
          <cell r="J35" t="str">
            <v>Chris</v>
          </cell>
        </row>
        <row r="36">
          <cell r="B36" t="str">
            <v>SPG_ADV Technology</v>
          </cell>
          <cell r="J36" t="str">
            <v>Chris</v>
          </cell>
        </row>
        <row r="37">
          <cell r="B37" t="str">
            <v>SPG_Security</v>
          </cell>
          <cell r="J37" t="str">
            <v>Hugo</v>
          </cell>
        </row>
        <row r="38">
          <cell r="B38" t="str">
            <v>SPG_VP and Direct Reports</v>
          </cell>
          <cell r="J38" t="str">
            <v>AndrejZ</v>
          </cell>
        </row>
        <row r="39">
          <cell r="B39" t="str">
            <v>SPG_CSE_FirstPartner</v>
          </cell>
          <cell r="J39"/>
        </row>
        <row r="40">
          <cell r="B40" t="str">
            <v>SPG_CSE_FirstPartner_Mantis_PLE</v>
          </cell>
          <cell r="J40"/>
        </row>
        <row r="41">
          <cell r="B41" t="str">
            <v>SPG_CSE_FirstPartner_Customer Engineering</v>
          </cell>
          <cell r="J41" t="str">
            <v>Matthias</v>
          </cell>
        </row>
        <row r="42">
          <cell r="B42" t="str">
            <v>SPG_CSE_FirstPartner_FAST</v>
          </cell>
          <cell r="J42" t="str">
            <v>Matthias</v>
          </cell>
        </row>
        <row r="43">
          <cell r="B43" t="str">
            <v>SPG_3D_Tooling</v>
          </cell>
          <cell r="J43" t="str">
            <v>Rodney</v>
          </cell>
        </row>
        <row r="44">
          <cell r="B44" t="str">
            <v>SPG_SW Technology</v>
          </cell>
          <cell r="J44" t="str">
            <v>Jeffrey</v>
          </cell>
        </row>
        <row r="45">
          <cell r="B45" t="str">
            <v>SPG_SW_ProgramManagers</v>
          </cell>
          <cell r="J45" t="str">
            <v>Matthias</v>
          </cell>
        </row>
        <row r="46">
          <cell r="B46" t="str">
            <v>SPG_3D_ArchNPIPM</v>
          </cell>
          <cell r="J46" t="str">
            <v>Rodney</v>
          </cell>
        </row>
        <row r="47">
          <cell r="B47" t="str">
            <v>SPG_3D_CQE</v>
          </cell>
          <cell r="J47" t="str">
            <v>Rodney</v>
          </cell>
        </row>
        <row r="48">
          <cell r="B48" t="str">
            <v>SPG_3D_PerfML</v>
          </cell>
          <cell r="J48" t="str">
            <v>Rodney</v>
          </cell>
        </row>
        <row r="49">
          <cell r="B49" t="str">
            <v>MLS_Architects</v>
          </cell>
          <cell r="J49"/>
        </row>
        <row r="50">
          <cell r="B50" t="str">
            <v>MLS_Computer Vision</v>
          </cell>
          <cell r="J50"/>
        </row>
        <row r="51">
          <cell r="B51" t="str">
            <v>MLS_Frameworks_MIOpen_MIGraphX</v>
          </cell>
          <cell r="J51"/>
        </row>
        <row r="52">
          <cell r="B52" t="str">
            <v>MLS_Inferencing</v>
          </cell>
          <cell r="J52"/>
        </row>
        <row r="53">
          <cell r="B53" t="str">
            <v>MLS_Languages_Runtimes_Compilers_Tools</v>
          </cell>
          <cell r="J53"/>
        </row>
        <row r="54">
          <cell r="B54" t="str">
            <v>MLS_Performance_Libraries</v>
          </cell>
          <cell r="J54"/>
        </row>
        <row r="55">
          <cell r="B55" t="str">
            <v>MLS_PM</v>
          </cell>
          <cell r="J55"/>
        </row>
        <row r="56">
          <cell r="B56" t="str">
            <v>MLS_QA</v>
          </cell>
          <cell r="J56"/>
        </row>
        <row r="57">
          <cell r="B57" t="str">
            <v>MLS_SW_Platform_Linux</v>
          </cell>
          <cell r="J57"/>
        </row>
        <row r="58">
          <cell r="B58" t="str">
            <v>MLS_Training</v>
          </cell>
          <cell r="J58"/>
        </row>
      </sheetData>
      <sheetData sheetId="2"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ynh, Sam (TK)" refreshedDate="46177.553197685185" createdVersion="8" refreshedVersion="8" minRefreshableVersion="3" recordCount="59" xr:uid="{2D7063D2-0633-46EA-B045-243FB267120C}">
  <cacheSource type="worksheet">
    <worksheetSource ref="A5:AM64" sheet="Capitola C40 v1.0 r1"/>
  </cacheSource>
  <cacheFields count="39">
    <cacheField name="Category" numFmtId="0">
      <sharedItems/>
    </cacheField>
    <cacheField name="Leader" numFmtId="0">
      <sharedItems containsBlank="1" count="7">
        <s v="Chris"/>
        <s v="Hugo"/>
        <s v="Matthias"/>
        <s v="Rodney"/>
        <s v="Syed"/>
        <m/>
        <s v="Stephen" u="1"/>
      </sharedItems>
    </cacheField>
    <cacheField name="Top Level Team" numFmtId="0">
      <sharedItems containsBlank="1" count="16">
        <s v="SPG_ADV Technology"/>
        <s v="SPG_FWProgMgmt"/>
        <s v="SPG_Platform Security"/>
        <s v="SPG_Platform_Linux"/>
        <s v="SPG_PMFW"/>
        <s v="SPG_SPIO"/>
        <s v="SPG_VBIOS CP"/>
        <s v="SPG_VBIOS RLC"/>
        <s v="SPG_Security"/>
        <s v="SPG_SW_ProgramManagers"/>
        <s v="SPG_ShaderCompiler"/>
        <s v="SPG_Display NPI"/>
        <s v="SPG_MM Audio"/>
        <s v="SPG_MM Video NPI"/>
        <s v="SPG_MM Video NTI"/>
        <m/>
      </sharedItems>
    </cacheField>
    <cacheField name="Function / Contact" numFmtId="0">
      <sharedItems containsBlank="1"/>
    </cacheField>
    <cacheField name="Location" numFmtId="0">
      <sharedItems containsBlank="1"/>
    </cacheField>
    <cacheField name="Allocation File" numFmtId="0">
      <sharedItems containsBlank="1"/>
    </cacheField>
    <cacheField name="HC Type" numFmtId="0">
      <sharedItems containsBlank="1" count="3">
        <s v="Incremental - XCHG"/>
        <s v="Existing - AOP"/>
        <m/>
      </sharedItems>
    </cacheField>
    <cacheField name="Q126" numFmtId="171">
      <sharedItems containsNonDate="0" containsString="0" containsBlank="1"/>
    </cacheField>
    <cacheField name="Q226" numFmtId="171">
      <sharedItems containsString="0" containsBlank="1" containsNumber="1" minValue="0.1" maxValue="0.1"/>
    </cacheField>
    <cacheField name="Q326" numFmtId="171">
      <sharedItems containsString="0" containsBlank="1" containsNumber="1" minValue="0.2" maxValue="3"/>
    </cacheField>
    <cacheField name="Q426" numFmtId="171">
      <sharedItems containsString="0" containsBlank="1" containsNumber="1" minValue="0.1" maxValue="3"/>
    </cacheField>
    <cacheField name="Q127" numFmtId="171">
      <sharedItems containsString="0" containsBlank="1" containsNumber="1" minValue="0.1" maxValue="4.3"/>
    </cacheField>
    <cacheField name="Q227" numFmtId="171">
      <sharedItems containsString="0" containsBlank="1" containsNumber="1" minValue="0.2" maxValue="4.5"/>
    </cacheField>
    <cacheField name="Q327" numFmtId="171">
      <sharedItems containsString="0" containsBlank="1" containsNumber="1" minValue="0.2" maxValue="4.5"/>
    </cacheField>
    <cacheField name="Q427" numFmtId="171">
      <sharedItems containsString="0" containsBlank="1" containsNumber="1" minValue="0.2" maxValue="6"/>
    </cacheField>
    <cacheField name="Q128" numFmtId="171">
      <sharedItems containsString="0" containsBlank="1" containsNumber="1" minValue="0.2" maxValue="5"/>
    </cacheField>
    <cacheField name="Q228" numFmtId="171">
      <sharedItems containsString="0" containsBlank="1" containsNumber="1" minValue="0.2" maxValue="9"/>
    </cacheField>
    <cacheField name="Q328" numFmtId="171">
      <sharedItems containsString="0" containsBlank="1" containsNumber="1" minValue="0.2" maxValue="10"/>
    </cacheField>
    <cacheField name="Q428" numFmtId="171">
      <sharedItems containsString="0" containsBlank="1" containsNumber="1" minValue="0.1" maxValue="13"/>
    </cacheField>
    <cacheField name="Q129" numFmtId="171">
      <sharedItems containsString="0" containsBlank="1" containsNumber="1" minValue="0" maxValue="13"/>
    </cacheField>
    <cacheField name="Q229" numFmtId="171">
      <sharedItems containsString="0" containsBlank="1" containsNumber="1" minValue="0.1" maxValue="13"/>
    </cacheField>
    <cacheField name="Q329" numFmtId="171">
      <sharedItems containsString="0" containsBlank="1" containsNumber="1" minValue="0" maxValue="11"/>
    </cacheField>
    <cacheField name="Q429" numFmtId="171">
      <sharedItems containsString="0" containsBlank="1" containsNumber="1" minValue="0" maxValue="9"/>
    </cacheField>
    <cacheField name="Q130" numFmtId="171">
      <sharedItems containsString="0" containsBlank="1" containsNumber="1" containsInteger="1" minValue="1" maxValue="6"/>
    </cacheField>
    <cacheField name="Q230" numFmtId="171">
      <sharedItems containsNonDate="0" containsString="0" containsBlank="1"/>
    </cacheField>
    <cacheField name="Q330" numFmtId="171">
      <sharedItems containsNonDate="0" containsString="0" containsBlank="1"/>
    </cacheField>
    <cacheField name="Q430" numFmtId="171">
      <sharedItems containsNonDate="0" containsString="0" containsBlank="1"/>
    </cacheField>
    <cacheField name="Q131" numFmtId="171">
      <sharedItems containsNonDate="0" containsString="0" containsBlank="1"/>
    </cacheField>
    <cacheField name="Q231" numFmtId="171">
      <sharedItems containsNonDate="0" containsString="0" containsBlank="1"/>
    </cacheField>
    <cacheField name="Q331" numFmtId="171">
      <sharedItems containsString="0" containsBlank="1" containsNumber="1" containsInteger="1" minValue="0" maxValue="0"/>
    </cacheField>
    <cacheField name="Q431" numFmtId="171">
      <sharedItems containsString="0" containsBlank="1" containsNumber="1" containsInteger="1" minValue="0" maxValue="0"/>
    </cacheField>
    <cacheField name="Q132" numFmtId="171">
      <sharedItems containsNonDate="0" containsString="0" containsBlank="1"/>
    </cacheField>
    <cacheField name="Q232" numFmtId="171">
      <sharedItems containsNonDate="0" containsString="0" containsBlank="1"/>
    </cacheField>
    <cacheField name="Q332" numFmtId="171">
      <sharedItems containsNonDate="0" containsString="0" containsBlank="1"/>
    </cacheField>
    <cacheField name="Q432" numFmtId="171">
      <sharedItems containsNonDate="0" containsString="0" containsBlank="1"/>
    </cacheField>
    <cacheField name="Sum HC" numFmtId="171">
      <sharedItems containsSemiMixedTypes="0" containsString="0" containsNumber="1" minValue="0" maxValue="87.5"/>
    </cacheField>
    <cacheField name="Peak HC" numFmtId="171">
      <sharedItems containsSemiMixedTypes="0" containsString="0" containsNumber="1" minValue="0" maxValue="13"/>
    </cacheField>
    <cacheField name="Rate" numFmtId="173">
      <sharedItems containsSemiMixedTypes="0" containsString="0" containsNumber="1" minValue="0" maxValue="57001.201725000043"/>
    </cacheField>
    <cacheField name="Cost" numFmtId="173">
      <sharedItems containsSemiMixedTypes="0" containsString="0" containsNumber="1" minValue="0" maxValue="2386580.77193510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s v="ATG"/>
    <x v="0"/>
    <x v="0"/>
    <s v="Program Management"/>
    <s v="Global"/>
    <s v="alloc_PPL_ATG"/>
    <x v="0"/>
    <m/>
    <m/>
    <m/>
    <m/>
    <n v="1"/>
    <n v="1"/>
    <n v="1"/>
    <n v="1"/>
    <n v="1"/>
    <n v="1"/>
    <n v="1"/>
    <n v="1"/>
    <n v="1"/>
    <n v="1"/>
    <n v="1"/>
    <n v="1"/>
    <m/>
    <m/>
    <m/>
    <m/>
    <m/>
    <m/>
    <m/>
    <m/>
    <m/>
    <m/>
    <m/>
    <m/>
    <n v="12"/>
    <n v="1"/>
    <n v="31000"/>
    <n v="372000"/>
  </r>
  <r>
    <s v="ATG"/>
    <x v="0"/>
    <x v="0"/>
    <s v="Architecture/Technical Lead"/>
    <s v="Global"/>
    <s v="alloc_PPL_ATG"/>
    <x v="0"/>
    <m/>
    <m/>
    <m/>
    <m/>
    <n v="1"/>
    <n v="1"/>
    <n v="1"/>
    <n v="1"/>
    <n v="1"/>
    <n v="1"/>
    <n v="1"/>
    <n v="1"/>
    <n v="1"/>
    <n v="1"/>
    <n v="1"/>
    <n v="1"/>
    <m/>
    <m/>
    <m/>
    <m/>
    <m/>
    <m/>
    <m/>
    <m/>
    <m/>
    <m/>
    <m/>
    <m/>
    <n v="12"/>
    <n v="1"/>
    <n v="31000"/>
    <n v="372000"/>
  </r>
  <r>
    <s v="ATG"/>
    <x v="0"/>
    <x v="0"/>
    <s v="GNPU - Model enablement/perf optimization"/>
    <s v="Global"/>
    <s v="alloc_PPL_ATG"/>
    <x v="0"/>
    <m/>
    <m/>
    <m/>
    <m/>
    <m/>
    <n v="2"/>
    <n v="4"/>
    <n v="4"/>
    <n v="4"/>
    <n v="4"/>
    <n v="4"/>
    <n v="4"/>
    <n v="4"/>
    <n v="4"/>
    <n v="4"/>
    <n v="2"/>
    <m/>
    <m/>
    <m/>
    <m/>
    <m/>
    <m/>
    <m/>
    <m/>
    <m/>
    <m/>
    <m/>
    <m/>
    <n v="40"/>
    <n v="4"/>
    <n v="31000"/>
    <n v="1240000"/>
  </r>
  <r>
    <s v="ATG"/>
    <x v="0"/>
    <x v="0"/>
    <s v="Android VAS3.0 - Video"/>
    <s v="Global"/>
    <s v="alloc_PPL_ATG"/>
    <x v="0"/>
    <m/>
    <m/>
    <m/>
    <m/>
    <n v="1"/>
    <n v="1"/>
    <n v="2"/>
    <n v="2"/>
    <n v="2"/>
    <n v="4"/>
    <n v="4"/>
    <n v="4"/>
    <n v="4"/>
    <n v="3"/>
    <n v="2"/>
    <n v="2"/>
    <m/>
    <m/>
    <m/>
    <m/>
    <m/>
    <m/>
    <m/>
    <m/>
    <m/>
    <m/>
    <m/>
    <m/>
    <n v="31"/>
    <n v="4"/>
    <n v="31000"/>
    <n v="961000"/>
  </r>
  <r>
    <s v="ATG"/>
    <x v="0"/>
    <x v="0"/>
    <s v="Android VAS3.0 - Graphics/Display"/>
    <s v="Global"/>
    <s v="alloc_PPL_ATG"/>
    <x v="0"/>
    <m/>
    <m/>
    <m/>
    <m/>
    <n v="1"/>
    <n v="1"/>
    <n v="2"/>
    <n v="2"/>
    <n v="2"/>
    <n v="3"/>
    <n v="3"/>
    <n v="3"/>
    <n v="3"/>
    <n v="3"/>
    <n v="2"/>
    <n v="2"/>
    <m/>
    <m/>
    <m/>
    <m/>
    <m/>
    <m/>
    <m/>
    <m/>
    <m/>
    <m/>
    <m/>
    <m/>
    <n v="27"/>
    <n v="3"/>
    <n v="31000"/>
    <n v="837000"/>
  </r>
  <r>
    <s v="ATG"/>
    <x v="0"/>
    <x v="0"/>
    <s v="Android VAS3.0 - Security"/>
    <s v="Global"/>
    <s v="alloc_PPL_ATG"/>
    <x v="0"/>
    <m/>
    <m/>
    <m/>
    <m/>
    <m/>
    <n v="1"/>
    <n v="1"/>
    <n v="2"/>
    <n v="2"/>
    <n v="2"/>
    <n v="2"/>
    <n v="2"/>
    <n v="2"/>
    <n v="2"/>
    <n v="2"/>
    <n v="1"/>
    <m/>
    <m/>
    <m/>
    <m/>
    <m/>
    <m/>
    <m/>
    <m/>
    <m/>
    <m/>
    <m/>
    <m/>
    <n v="19"/>
    <n v="2"/>
    <n v="31000"/>
    <n v="589000"/>
  </r>
  <r>
    <s v="ATG"/>
    <x v="0"/>
    <x v="0"/>
    <s v="Android VAS3.0 - Android Framework"/>
    <s v="Global"/>
    <s v="alloc_PPL_ATG"/>
    <x v="0"/>
    <m/>
    <m/>
    <m/>
    <m/>
    <m/>
    <n v="1"/>
    <n v="1"/>
    <n v="2"/>
    <n v="2"/>
    <n v="2"/>
    <n v="2"/>
    <n v="2"/>
    <n v="2"/>
    <n v="2"/>
    <n v="2"/>
    <n v="1"/>
    <m/>
    <m/>
    <m/>
    <m/>
    <m/>
    <m/>
    <m/>
    <m/>
    <m/>
    <m/>
    <m/>
    <m/>
    <n v="19"/>
    <n v="2"/>
    <n v="31000"/>
    <n v="589000"/>
  </r>
  <r>
    <s v="ATG"/>
    <x v="0"/>
    <x v="0"/>
    <s v="Robotics SW/Usecases"/>
    <s v="Global"/>
    <s v="alloc_PPL_ATG"/>
    <x v="0"/>
    <m/>
    <m/>
    <m/>
    <m/>
    <n v="1"/>
    <n v="2"/>
    <n v="4"/>
    <n v="6"/>
    <n v="4"/>
    <n v="8"/>
    <n v="8"/>
    <n v="8"/>
    <n v="8"/>
    <n v="6"/>
    <n v="6"/>
    <n v="4"/>
    <m/>
    <m/>
    <m/>
    <m/>
    <m/>
    <m/>
    <m/>
    <m/>
    <m/>
    <m/>
    <m/>
    <m/>
    <n v="65"/>
    <n v="8"/>
    <n v="31000"/>
    <n v="2015000"/>
  </r>
  <r>
    <s v="ATG"/>
    <x v="0"/>
    <x v="0"/>
    <s v="ROCm model optimization/bug fix"/>
    <s v="Global"/>
    <s v="alloc_PPL_ATG"/>
    <x v="0"/>
    <m/>
    <m/>
    <m/>
    <m/>
    <n v="1"/>
    <n v="2"/>
    <n v="2"/>
    <n v="2"/>
    <n v="4"/>
    <n v="4"/>
    <n v="4"/>
    <n v="4"/>
    <n v="4"/>
    <n v="4"/>
    <n v="2"/>
    <n v="2"/>
    <m/>
    <m/>
    <m/>
    <m/>
    <m/>
    <m/>
    <m/>
    <m/>
    <m/>
    <m/>
    <m/>
    <m/>
    <n v="35"/>
    <n v="4"/>
    <n v="31000"/>
    <n v="1085000"/>
  </r>
  <r>
    <s v="ATG"/>
    <x v="0"/>
    <x v="0"/>
    <s v="FuSA consulting/support"/>
    <s v="Global"/>
    <s v="alloc_PPL_ATG"/>
    <x v="0"/>
    <m/>
    <m/>
    <m/>
    <m/>
    <n v="1"/>
    <n v="1"/>
    <n v="1"/>
    <n v="1"/>
    <n v="1"/>
    <n v="1"/>
    <n v="1"/>
    <n v="1"/>
    <n v="1"/>
    <n v="1"/>
    <n v="1"/>
    <n v="1"/>
    <m/>
    <m/>
    <m/>
    <m/>
    <m/>
    <m/>
    <m/>
    <m/>
    <m/>
    <m/>
    <m/>
    <m/>
    <n v="12"/>
    <n v="1"/>
    <n v="31000"/>
    <n v="372000"/>
  </r>
  <r>
    <s v="ATG"/>
    <x v="0"/>
    <x v="0"/>
    <s v="Validation QA + DevOps"/>
    <s v="Global"/>
    <s v="alloc_PPL_ATG"/>
    <x v="0"/>
    <m/>
    <m/>
    <m/>
    <n v="1"/>
    <n v="2"/>
    <n v="3"/>
    <n v="3"/>
    <n v="3"/>
    <n v="3"/>
    <n v="5"/>
    <n v="5"/>
    <n v="5"/>
    <n v="5"/>
    <n v="3"/>
    <n v="3"/>
    <n v="3"/>
    <m/>
    <m/>
    <m/>
    <m/>
    <m/>
    <m/>
    <m/>
    <m/>
    <m/>
    <m/>
    <m/>
    <m/>
    <n v="44"/>
    <n v="5"/>
    <n v="31000"/>
    <n v="1364000"/>
  </r>
  <r>
    <s v="PFO"/>
    <x v="0"/>
    <x v="1"/>
    <s v="Pre-Si Sys FW PM"/>
    <s v="Canada"/>
    <s v="alloc_PFO_PM_Arch"/>
    <x v="0"/>
    <m/>
    <m/>
    <n v="1"/>
    <n v="1"/>
    <n v="1"/>
    <n v="1"/>
    <n v="1"/>
    <n v="1"/>
    <n v="1"/>
    <n v="1"/>
    <n v="1"/>
    <m/>
    <m/>
    <m/>
    <m/>
    <m/>
    <m/>
    <m/>
    <m/>
    <m/>
    <m/>
    <m/>
    <m/>
    <m/>
    <m/>
    <m/>
    <m/>
    <m/>
    <n v="9"/>
    <n v="1"/>
    <n v="30138.249515086281"/>
    <n v="271244.24563577655"/>
  </r>
  <r>
    <s v="PFO"/>
    <x v="0"/>
    <x v="2"/>
    <s v="UBU / LibROM"/>
    <s v="Canada"/>
    <s v="alloc_PSPSecurity_MKM"/>
    <x v="0"/>
    <m/>
    <m/>
    <m/>
    <m/>
    <n v="1"/>
    <n v="1"/>
    <n v="1"/>
    <n v="1"/>
    <n v="1"/>
    <n v="1"/>
    <n v="1"/>
    <m/>
    <m/>
    <m/>
    <m/>
    <m/>
    <m/>
    <m/>
    <m/>
    <m/>
    <m/>
    <m/>
    <m/>
    <m/>
    <m/>
    <m/>
    <m/>
    <m/>
    <n v="7"/>
    <n v="1"/>
    <n v="30138.249515086281"/>
    <n v="210967.74660560396"/>
  </r>
  <r>
    <s v="PFO"/>
    <x v="0"/>
    <x v="2"/>
    <s v="ART FW / ASP FW / Manufacturing FW"/>
    <s v="Canada"/>
    <s v="alloc_PSPSecurity_MKM"/>
    <x v="0"/>
    <m/>
    <m/>
    <m/>
    <m/>
    <n v="1"/>
    <n v="2"/>
    <n v="2"/>
    <n v="2"/>
    <n v="2"/>
    <n v="2"/>
    <n v="2"/>
    <n v="2"/>
    <m/>
    <m/>
    <m/>
    <m/>
    <m/>
    <m/>
    <m/>
    <m/>
    <m/>
    <m/>
    <m/>
    <m/>
    <m/>
    <m/>
    <m/>
    <m/>
    <n v="15"/>
    <n v="2"/>
    <n v="30138.249515086281"/>
    <n v="452073.74272629421"/>
  </r>
  <r>
    <s v="PlatLinux"/>
    <x v="0"/>
    <x v="3"/>
    <s v="Linux-PreSilicon/Bringup/Mesa/PM/SMI"/>
    <s v="Canada"/>
    <s v="alloc_MLS_Linux_4"/>
    <x v="0"/>
    <m/>
    <m/>
    <m/>
    <n v="0.1"/>
    <n v="0.2"/>
    <n v="0.5"/>
    <n v="0.5"/>
    <n v="1"/>
    <n v="5"/>
    <n v="5"/>
    <n v="5"/>
    <n v="5"/>
    <n v="4"/>
    <n v="4"/>
    <n v="3"/>
    <n v="2"/>
    <n v="1"/>
    <m/>
    <m/>
    <m/>
    <m/>
    <m/>
    <m/>
    <m/>
    <m/>
    <m/>
    <m/>
    <m/>
    <n v="36.299999999999997"/>
    <n v="5"/>
    <n v="30138.249515086281"/>
    <n v="1094018.4573976318"/>
  </r>
  <r>
    <s v="PlatLinux"/>
    <x v="0"/>
    <x v="3"/>
    <s v="Linux Dev &amp; IQE/Virtualization/ROCm DOMU"/>
    <s v="China Shanghai"/>
    <s v="alloc_MLS_Linux_3"/>
    <x v="0"/>
    <m/>
    <m/>
    <n v="0.5"/>
    <n v="0.5"/>
    <n v="0.5"/>
    <n v="0.5"/>
    <n v="0.5"/>
    <n v="0.5"/>
    <n v="0.5"/>
    <n v="9"/>
    <n v="10"/>
    <n v="13"/>
    <n v="13"/>
    <n v="13"/>
    <n v="11"/>
    <n v="9"/>
    <n v="6"/>
    <m/>
    <m/>
    <m/>
    <m/>
    <m/>
    <m/>
    <m/>
    <m/>
    <m/>
    <m/>
    <m/>
    <n v="87.5"/>
    <n v="13"/>
    <n v="27275.208822115485"/>
    <n v="2386580.7719351049"/>
  </r>
  <r>
    <s v="PFO"/>
    <x v="0"/>
    <x v="4"/>
    <s v="PMFW"/>
    <s v="Canada"/>
    <s v="alloc_PMFW"/>
    <x v="0"/>
    <m/>
    <m/>
    <m/>
    <n v="3"/>
    <n v="3"/>
    <n v="3"/>
    <n v="3"/>
    <n v="3"/>
    <n v="3"/>
    <n v="3"/>
    <n v="3"/>
    <n v="3"/>
    <m/>
    <m/>
    <m/>
    <m/>
    <m/>
    <m/>
    <m/>
    <m/>
    <m/>
    <m/>
    <m/>
    <m/>
    <m/>
    <m/>
    <m/>
    <m/>
    <n v="27"/>
    <n v="3"/>
    <n v="30138.249515086281"/>
    <n v="813732.73690732964"/>
  </r>
  <r>
    <s v="PFO"/>
    <x v="0"/>
    <x v="5"/>
    <s v="ICTFW"/>
    <s v="Canada"/>
    <s v="alloc_SPIO"/>
    <x v="0"/>
    <m/>
    <m/>
    <m/>
    <m/>
    <n v="1.5"/>
    <n v="3"/>
    <n v="3"/>
    <n v="3"/>
    <n v="3"/>
    <n v="3"/>
    <n v="2.6666666666666665"/>
    <n v="2.5"/>
    <n v="0"/>
    <m/>
    <m/>
    <m/>
    <m/>
    <m/>
    <m/>
    <m/>
    <m/>
    <m/>
    <m/>
    <m/>
    <m/>
    <m/>
    <m/>
    <m/>
    <n v="21.666666666666668"/>
    <n v="3"/>
    <n v="30138.249515086281"/>
    <n v="652995.40616020281"/>
  </r>
  <r>
    <s v="PFO"/>
    <x v="0"/>
    <x v="5"/>
    <s v="OpenSIL + PFQ"/>
    <s v="Canada"/>
    <s v="alloc_SPIO"/>
    <x v="0"/>
    <m/>
    <m/>
    <m/>
    <m/>
    <n v="2"/>
    <n v="4.5"/>
    <n v="4.5"/>
    <n v="4.5"/>
    <n v="4.5"/>
    <n v="4.5"/>
    <n v="4.5"/>
    <n v="4.5"/>
    <n v="0.5"/>
    <n v="0.5"/>
    <n v="0.5"/>
    <m/>
    <m/>
    <m/>
    <m/>
    <m/>
    <m/>
    <m/>
    <m/>
    <m/>
    <m/>
    <m/>
    <m/>
    <m/>
    <n v="35"/>
    <n v="4.5"/>
    <n v="30138.249515086281"/>
    <n v="1054838.7330280198"/>
  </r>
  <r>
    <s v="PFO"/>
    <x v="0"/>
    <x v="5"/>
    <s v="MEM + DF"/>
    <s v="Canada"/>
    <s v="alloc_SPIO"/>
    <x v="0"/>
    <m/>
    <m/>
    <m/>
    <m/>
    <n v="4.3"/>
    <n v="4.5"/>
    <n v="4.5"/>
    <n v="4.5"/>
    <n v="4.5"/>
    <n v="4.5"/>
    <n v="3.8333333333333335"/>
    <n v="3.5"/>
    <m/>
    <m/>
    <m/>
    <m/>
    <m/>
    <m/>
    <m/>
    <m/>
    <m/>
    <m/>
    <m/>
    <m/>
    <m/>
    <m/>
    <m/>
    <m/>
    <n v="34.133333333333333"/>
    <n v="4.5"/>
    <n v="30138.249515086281"/>
    <n v="1028718.9167816117"/>
  </r>
  <r>
    <s v="PFO"/>
    <x v="0"/>
    <x v="6"/>
    <s v="GAIT CP FW"/>
    <s v="Canada"/>
    <s v="alloc_CP"/>
    <x v="0"/>
    <m/>
    <m/>
    <m/>
    <m/>
    <n v="1"/>
    <n v="1"/>
    <n v="1"/>
    <n v="1"/>
    <n v="1"/>
    <n v="1"/>
    <n v="1"/>
    <n v="1"/>
    <m/>
    <m/>
    <m/>
    <m/>
    <m/>
    <m/>
    <m/>
    <m/>
    <m/>
    <m/>
    <m/>
    <m/>
    <m/>
    <m/>
    <m/>
    <m/>
    <n v="8"/>
    <n v="1"/>
    <n v="30138.249515086281"/>
    <n v="241105.99612069025"/>
  </r>
  <r>
    <s v="PFO"/>
    <x v="0"/>
    <x v="7"/>
    <s v="GAIT RLC FW"/>
    <s v="China Shanghai"/>
    <s v="alloc_RLC"/>
    <x v="0"/>
    <m/>
    <m/>
    <n v="3"/>
    <n v="3"/>
    <n v="3"/>
    <n v="3"/>
    <n v="3"/>
    <n v="3"/>
    <n v="3"/>
    <n v="3"/>
    <n v="3"/>
    <n v="3"/>
    <n v="3"/>
    <n v="3"/>
    <n v="2"/>
    <m/>
    <m/>
    <m/>
    <m/>
    <m/>
    <m/>
    <m/>
    <m/>
    <m/>
    <m/>
    <m/>
    <m/>
    <m/>
    <n v="38"/>
    <n v="3"/>
    <n v="27275.208822115485"/>
    <n v="1036457.9352403884"/>
  </r>
  <r>
    <s v="Security"/>
    <x v="1"/>
    <x v="8"/>
    <s v="SDL"/>
    <s v="USA"/>
    <s v="alloc_Product Security"/>
    <x v="1"/>
    <m/>
    <m/>
    <m/>
    <n v="0.1"/>
    <n v="0.1"/>
    <n v="0.2"/>
    <n v="0.2"/>
    <n v="0.2"/>
    <n v="0.2"/>
    <n v="0.2"/>
    <n v="0.2"/>
    <n v="0.1"/>
    <n v="0.1"/>
    <n v="0.1"/>
    <n v="0.1"/>
    <m/>
    <m/>
    <m/>
    <m/>
    <m/>
    <m/>
    <m/>
    <m/>
    <m/>
    <m/>
    <m/>
    <m/>
    <m/>
    <n v="1.8000000000000003"/>
    <n v="0.2"/>
    <n v="57001.201725000043"/>
    <n v="102602.16310500009"/>
  </r>
  <r>
    <s v="Security"/>
    <x v="1"/>
    <x v="8"/>
    <s v="FIPS certification"/>
    <s v="USA"/>
    <s v="alloc_Product Security"/>
    <x v="1"/>
    <m/>
    <m/>
    <m/>
    <m/>
    <n v="0.1"/>
    <n v="0.2"/>
    <n v="0.2"/>
    <n v="0.2"/>
    <n v="0.2"/>
    <n v="0.2"/>
    <n v="0.2"/>
    <n v="0.1"/>
    <n v="0.1"/>
    <n v="0.1"/>
    <n v="0.1"/>
    <m/>
    <m/>
    <m/>
    <m/>
    <m/>
    <m/>
    <m/>
    <m/>
    <m/>
    <m/>
    <m/>
    <m/>
    <m/>
    <n v="1.7000000000000002"/>
    <n v="0.2"/>
    <n v="57001.201725000043"/>
    <n v="96902.042932500088"/>
  </r>
  <r>
    <s v="SW PM"/>
    <x v="2"/>
    <x v="9"/>
    <s v="Cross-Functional SW PM"/>
    <s v="Canada"/>
    <s v="alloc_Program Management_AlejandroR"/>
    <x v="1"/>
    <m/>
    <n v="0.1"/>
    <n v="0.2"/>
    <n v="0.3"/>
    <n v="0.5"/>
    <n v="0.5"/>
    <n v="0.5"/>
    <n v="0.5"/>
    <n v="0.5"/>
    <n v="0.5"/>
    <n v="0.5"/>
    <n v="0.5"/>
    <n v="0.5"/>
    <n v="0.5"/>
    <n v="0.3"/>
    <n v="0.2"/>
    <m/>
    <m/>
    <m/>
    <m/>
    <m/>
    <m/>
    <n v="0"/>
    <n v="0"/>
    <m/>
    <m/>
    <m/>
    <m/>
    <n v="6.1"/>
    <n v="0.5"/>
    <n v="30138.249515086281"/>
    <n v="183843.3220420263"/>
  </r>
  <r>
    <s v="Shaders"/>
    <x v="3"/>
    <x v="10"/>
    <s v="Lightning Compiler"/>
    <s v="USA"/>
    <s v="alloc_CG 3D Drivers And Compilers"/>
    <x v="1"/>
    <m/>
    <m/>
    <m/>
    <n v="1"/>
    <n v="1"/>
    <n v="1"/>
    <n v="1"/>
    <n v="1"/>
    <n v="1"/>
    <n v="1"/>
    <n v="1"/>
    <n v="1"/>
    <n v="1"/>
    <n v="1"/>
    <m/>
    <m/>
    <m/>
    <m/>
    <m/>
    <m/>
    <m/>
    <m/>
    <m/>
    <m/>
    <m/>
    <m/>
    <m/>
    <m/>
    <n v="11"/>
    <n v="1"/>
    <n v="57001.201725000043"/>
    <n v="627013.21897500043"/>
  </r>
  <r>
    <s v="Disp&amp;MM"/>
    <x v="4"/>
    <x v="11"/>
    <s v="Charlie Wang"/>
    <s v="Canada"/>
    <s v="alloc_Display Solution_CharlieW"/>
    <x v="0"/>
    <m/>
    <m/>
    <m/>
    <n v="2"/>
    <n v="3"/>
    <n v="3"/>
    <n v="3"/>
    <n v="4"/>
    <n v="4"/>
    <n v="5"/>
    <n v="5"/>
    <n v="6"/>
    <n v="6"/>
    <n v="4"/>
    <n v="3"/>
    <m/>
    <m/>
    <m/>
    <m/>
    <m/>
    <m/>
    <m/>
    <m/>
    <m/>
    <m/>
    <m/>
    <m/>
    <m/>
    <n v="48"/>
    <n v="6"/>
    <n v="30138.249515086281"/>
    <n v="1446635.9767241415"/>
  </r>
  <r>
    <s v="Disp&amp;MM"/>
    <x v="4"/>
    <x v="12"/>
    <s v="ACP FW/ Driver"/>
    <s v="Taiwan"/>
    <s v="alloc_SWDEV_HYD_MM_Audio_NonWin"/>
    <x v="0"/>
    <m/>
    <m/>
    <m/>
    <n v="1"/>
    <n v="1"/>
    <n v="2"/>
    <n v="2"/>
    <n v="3"/>
    <n v="4"/>
    <n v="4"/>
    <n v="3"/>
    <n v="2"/>
    <n v="1"/>
    <n v="1"/>
    <n v="0"/>
    <n v="0"/>
    <m/>
    <m/>
    <m/>
    <m/>
    <m/>
    <m/>
    <m/>
    <m/>
    <m/>
    <m/>
    <m/>
    <m/>
    <n v="24"/>
    <n v="4"/>
    <n v="24974.506238532111"/>
    <n v="599388.14972477069"/>
  </r>
  <r>
    <s v="Disp&amp;MM"/>
    <x v="4"/>
    <x v="13"/>
    <s v="Konstantin Moskvitin"/>
    <s v="Canada"/>
    <s v="alloc_mmdrivers_video_playback_pipelines"/>
    <x v="0"/>
    <m/>
    <m/>
    <m/>
    <m/>
    <m/>
    <m/>
    <m/>
    <n v="1"/>
    <n v="1"/>
    <n v="1"/>
    <n v="1"/>
    <n v="1"/>
    <n v="1"/>
    <n v="1"/>
    <n v="1"/>
    <m/>
    <m/>
    <m/>
    <m/>
    <m/>
    <m/>
    <m/>
    <m/>
    <m/>
    <m/>
    <m/>
    <m/>
    <m/>
    <n v="8"/>
    <n v="1"/>
    <n v="30138.249515086281"/>
    <n v="241105.99612069025"/>
  </r>
  <r>
    <s v="Disp&amp;MM"/>
    <x v="4"/>
    <x v="14"/>
    <s v="Bill Li"/>
    <s v="Canada"/>
    <s v="alloc_mmdrivers_video_encode"/>
    <x v="0"/>
    <m/>
    <m/>
    <m/>
    <n v="1"/>
    <n v="1"/>
    <n v="1"/>
    <n v="1"/>
    <n v="1"/>
    <n v="1"/>
    <n v="1.5"/>
    <n v="1.5"/>
    <n v="1.5"/>
    <n v="1.5"/>
    <n v="1"/>
    <n v="1"/>
    <m/>
    <m/>
    <m/>
    <m/>
    <m/>
    <m/>
    <m/>
    <m/>
    <m/>
    <m/>
    <m/>
    <m/>
    <m/>
    <n v="14"/>
    <n v="1.5"/>
    <n v="30138.249515086281"/>
    <n v="421935.49321120791"/>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r>
    <s v=""/>
    <x v="5"/>
    <x v="15"/>
    <m/>
    <m/>
    <m/>
    <x v="2"/>
    <m/>
    <m/>
    <m/>
    <m/>
    <m/>
    <m/>
    <m/>
    <m/>
    <m/>
    <m/>
    <m/>
    <m/>
    <m/>
    <m/>
    <m/>
    <m/>
    <m/>
    <m/>
    <m/>
    <m/>
    <m/>
    <m/>
    <m/>
    <m/>
    <m/>
    <m/>
    <m/>
    <m/>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D1825F4-1D19-4A3E-8D7E-99B0970CB24A}" name="PivotTable1" cacheId="5" applyNumberFormats="0" applyBorderFormats="0" applyFontFormats="0" applyPatternFormats="0" applyAlignmentFormats="0" applyWidthHeightFormats="1" dataCaption="Values" updatedVersion="8" minRefreshableVersion="3" showDrill="0" itemPrintTitles="1" createdVersion="8" indent="0" compact="0" compactData="0" multipleFieldFilters="0">
  <location ref="A3:D10" firstHeaderRow="1" firstDataRow="2" firstDataCol="1"/>
  <pivotFields count="39">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7">
        <item x="0"/>
        <item x="1"/>
        <item x="2"/>
        <item m="1" x="6"/>
        <item x="5"/>
        <item x="3"/>
        <item x="4"/>
      </items>
      <extLst>
        <ext xmlns:x14="http://schemas.microsoft.com/office/spreadsheetml/2009/9/main" uri="{2946ED86-A175-432a-8AC1-64E0C546D7DE}">
          <x14:pivotField fillDownLabels="1"/>
        </ext>
      </extLst>
    </pivotField>
    <pivotField compact="0" outline="0" subtotalTop="0" showAll="0" defaultSubtotal="0">
      <items count="16">
        <item x="0"/>
        <item x="11"/>
        <item x="1"/>
        <item x="12"/>
        <item x="13"/>
        <item x="14"/>
        <item x="2"/>
        <item x="3"/>
        <item x="4"/>
        <item x="8"/>
        <item x="10"/>
        <item x="5"/>
        <item x="9"/>
        <item x="6"/>
        <item x="7"/>
        <item x="15"/>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defaultSubtotal="0">
      <items count="3">
        <item x="1"/>
        <item x="0"/>
        <item h="1" x="2"/>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171" outline="0" subtotalTop="0" showAll="0" defaultSubtotal="0">
      <extLst>
        <ext xmlns:x14="http://schemas.microsoft.com/office/spreadsheetml/2009/9/main" uri="{2946ED86-A175-432a-8AC1-64E0C546D7DE}">
          <x14:pivotField fillDownLabels="1"/>
        </ext>
      </extLst>
    </pivotField>
    <pivotField compact="0" numFmtId="171" outline="0" subtotalTop="0" showAll="0" defaultSubtotal="0">
      <extLst>
        <ext xmlns:x14="http://schemas.microsoft.com/office/spreadsheetml/2009/9/main" uri="{2946ED86-A175-432a-8AC1-64E0C546D7DE}">
          <x14:pivotField fillDownLabels="1"/>
        </ext>
      </extLst>
    </pivotField>
    <pivotField compact="0" numFmtId="173" outline="0" subtotalTop="0" showAll="0" defaultSubtotal="0">
      <extLst>
        <ext xmlns:x14="http://schemas.microsoft.com/office/spreadsheetml/2009/9/main" uri="{2946ED86-A175-432a-8AC1-64E0C546D7DE}">
          <x14:pivotField fillDownLabels="1"/>
        </ext>
      </extLst>
    </pivotField>
    <pivotField dataField="1" compact="0" numFmtId="173" outline="0" subtotalTop="0" showAll="0" defaultSubtotal="0">
      <extLst>
        <ext xmlns:x14="http://schemas.microsoft.com/office/spreadsheetml/2009/9/main" uri="{2946ED86-A175-432a-8AC1-64E0C546D7DE}">
          <x14:pivotField fillDownLabels="1"/>
        </ext>
      </extLst>
    </pivotField>
  </pivotFields>
  <rowFields count="1">
    <field x="1"/>
  </rowFields>
  <rowItems count="6">
    <i>
      <x/>
    </i>
    <i>
      <x v="1"/>
    </i>
    <i>
      <x v="2"/>
    </i>
    <i>
      <x v="5"/>
    </i>
    <i>
      <x v="6"/>
    </i>
    <i t="grand">
      <x/>
    </i>
  </rowItems>
  <colFields count="1">
    <field x="6"/>
  </colFields>
  <colItems count="3">
    <i>
      <x/>
    </i>
    <i>
      <x v="1"/>
    </i>
    <i t="grand">
      <x/>
    </i>
  </colItems>
  <dataFields count="1">
    <dataField name="Cost ($M)" fld="38" baseField="1" baseItem="0" numFmtId="174"/>
  </dataFields>
  <formats count="3">
    <format dxfId="57">
      <pivotArea dataOnly="0" labelOnly="1" outline="0" fieldPosition="0">
        <references count="1">
          <reference field="6" count="1">
            <x v="0"/>
          </reference>
        </references>
      </pivotArea>
    </format>
    <format dxfId="56">
      <pivotArea dataOnly="0" labelOnly="1" outline="0" fieldPosition="0">
        <references count="1">
          <reference field="6" count="1">
            <x v="1"/>
          </reference>
        </references>
      </pivotArea>
    </format>
    <format dxfId="55">
      <pivotArea outline="0" fieldPosition="0">
        <references count="1">
          <reference field="4294967294" count="1">
            <x v="0"/>
          </reference>
        </references>
      </pivotArea>
    </format>
  </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6BD621-91E5-434A-84A4-91F3647AC527}" name="Table1" displayName="Table1" ref="B2:F15" totalsRowShown="0" dataDxfId="54">
  <autoFilter ref="B2:F15" xr:uid="{7D6BD621-91E5-434A-84A4-91F3647AC527}"/>
  <tableColumns count="5">
    <tableColumn id="1" xr3:uid="{4662D239-53BB-43D1-9A85-A89472A6EB1D}" name="Team" dataDxfId="53"/>
    <tableColumn id="2" xr3:uid="{4F5F2234-67A6-4C93-9295-2A73FA2066F1}" name="Contact" dataDxfId="52"/>
    <tableColumn id="3" xr3:uid="{4E30F878-F182-470D-BA1B-26BCB01F397F}" name="Scope / Function / Impact / Involvement" dataDxfId="51"/>
    <tableColumn id="4" xr3:uid="{F3BF70F5-2D74-42C0-BB79-90A1D3386E7A}" name="Status" dataDxfId="50"/>
    <tableColumn id="5" xr3:uid="{58D15700-FE06-4DE4-815A-1E5688FBADC3}" name="Comments" dataDxfId="49"/>
  </tableColumns>
  <tableStyleInfo name="TableStyleMedium2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2.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BD5E8-0CC5-46B1-A87C-EA332DCE38BA}">
  <sheetPr published="0">
    <tabColor theme="7"/>
  </sheetPr>
  <dimension ref="A1:D31"/>
  <sheetViews>
    <sheetView zoomScaleNormal="100" workbookViewId="0">
      <pane ySplit="2" topLeftCell="A11" activePane="bottomLeft" state="frozen"/>
      <selection activeCell="G7" sqref="G7"/>
      <selection pane="bottomLeft" activeCell="D13" sqref="D13"/>
    </sheetView>
  </sheetViews>
  <sheetFormatPr defaultColWidth="9.42578125" defaultRowHeight="15" x14ac:dyDescent="0.25"/>
  <cols>
    <col min="1" max="1" width="37" style="14" customWidth="1"/>
    <col min="2" max="2" width="63.5703125" style="14" customWidth="1"/>
    <col min="3" max="3" width="64" style="14" customWidth="1"/>
    <col min="4" max="4" width="58.42578125" style="14" customWidth="1"/>
    <col min="5" max="16384" width="9.42578125" style="14"/>
  </cols>
  <sheetData>
    <row r="1" spans="1:4" ht="36.75" customHeight="1" thickBot="1" x14ac:dyDescent="0.3">
      <c r="A1" s="199" t="s">
        <v>0</v>
      </c>
      <c r="B1" s="199"/>
      <c r="C1" s="199"/>
      <c r="D1" s="199"/>
    </row>
    <row r="2" spans="1:4" x14ac:dyDescent="0.25">
      <c r="A2" s="185" t="s">
        <v>1</v>
      </c>
      <c r="B2" s="186" t="s">
        <v>2</v>
      </c>
      <c r="C2" s="187" t="s">
        <v>3</v>
      </c>
      <c r="D2" s="188" t="s">
        <v>4</v>
      </c>
    </row>
    <row r="3" spans="1:4" ht="300" x14ac:dyDescent="0.25">
      <c r="A3" s="35" t="s">
        <v>5</v>
      </c>
      <c r="B3" s="16" t="s">
        <v>323</v>
      </c>
      <c r="C3" s="16" t="s">
        <v>324</v>
      </c>
      <c r="D3" s="22"/>
    </row>
    <row r="4" spans="1:4" ht="165" x14ac:dyDescent="0.25">
      <c r="A4" s="35" t="s">
        <v>6</v>
      </c>
      <c r="B4" s="15" t="s">
        <v>7</v>
      </c>
      <c r="C4" s="108" t="s">
        <v>8</v>
      </c>
      <c r="D4" s="15"/>
    </row>
    <row r="5" spans="1:4" ht="120" x14ac:dyDescent="0.25">
      <c r="A5" s="35" t="s">
        <v>9</v>
      </c>
      <c r="B5" s="189"/>
      <c r="C5" s="195" t="s">
        <v>10</v>
      </c>
      <c r="D5" s="190"/>
    </row>
    <row r="6" spans="1:4" x14ac:dyDescent="0.25">
      <c r="A6" s="35"/>
      <c r="B6" s="189"/>
      <c r="C6" s="195"/>
      <c r="D6" s="190"/>
    </row>
    <row r="7" spans="1:4" ht="90" x14ac:dyDescent="0.25">
      <c r="A7" s="35" t="s">
        <v>11</v>
      </c>
      <c r="B7" s="197" t="s">
        <v>319</v>
      </c>
      <c r="C7" s="198" t="s">
        <v>320</v>
      </c>
      <c r="D7" s="190"/>
    </row>
    <row r="8" spans="1:4" ht="240" x14ac:dyDescent="0.25">
      <c r="A8" s="104" t="s">
        <v>12</v>
      </c>
      <c r="B8" s="103" t="s">
        <v>13</v>
      </c>
      <c r="C8" s="103" t="s">
        <v>14</v>
      </c>
      <c r="D8" s="103"/>
    </row>
    <row r="9" spans="1:4" ht="30" x14ac:dyDescent="0.25">
      <c r="A9" s="104" t="s">
        <v>15</v>
      </c>
      <c r="B9" s="103" t="s">
        <v>16</v>
      </c>
      <c r="C9" s="103" t="s">
        <v>17</v>
      </c>
      <c r="D9" s="103"/>
    </row>
    <row r="10" spans="1:4" ht="60" x14ac:dyDescent="0.25">
      <c r="A10" s="104" t="s">
        <v>18</v>
      </c>
      <c r="B10" s="103" t="s">
        <v>19</v>
      </c>
      <c r="C10" s="103" t="s">
        <v>322</v>
      </c>
      <c r="D10" s="103"/>
    </row>
    <row r="11" spans="1:4" ht="30" x14ac:dyDescent="0.25">
      <c r="A11" s="104" t="s">
        <v>20</v>
      </c>
      <c r="B11" s="116" t="s">
        <v>21</v>
      </c>
      <c r="C11" s="103" t="s">
        <v>321</v>
      </c>
      <c r="D11" s="103"/>
    </row>
    <row r="12" spans="1:4" ht="30" x14ac:dyDescent="0.25">
      <c r="A12" s="34" t="s">
        <v>22</v>
      </c>
      <c r="B12" s="14" t="s">
        <v>23</v>
      </c>
      <c r="C12" s="31" t="s">
        <v>24</v>
      </c>
      <c r="D12" s="22"/>
    </row>
    <row r="13" spans="1:4" ht="165" x14ac:dyDescent="0.25">
      <c r="A13" s="179" t="s">
        <v>25</v>
      </c>
      <c r="B13" s="116" t="s">
        <v>339</v>
      </c>
      <c r="C13" s="15" t="s">
        <v>340</v>
      </c>
      <c r="D13" s="167" t="s">
        <v>341</v>
      </c>
    </row>
    <row r="14" spans="1:4" ht="200.25" customHeight="1" x14ac:dyDescent="0.25">
      <c r="A14" s="191" t="s">
        <v>26</v>
      </c>
      <c r="B14" s="108" t="s">
        <v>27</v>
      </c>
      <c r="C14" s="108" t="s">
        <v>28</v>
      </c>
      <c r="D14" s="180" t="s">
        <v>29</v>
      </c>
    </row>
    <row r="15" spans="1:4" ht="33.950000000000003" customHeight="1" x14ac:dyDescent="0.25">
      <c r="A15" s="191" t="s">
        <v>30</v>
      </c>
      <c r="B15" s="14" t="s">
        <v>317</v>
      </c>
      <c r="C15" s="173" t="s">
        <v>316</v>
      </c>
      <c r="D15" s="167"/>
    </row>
    <row r="16" spans="1:4" ht="75" x14ac:dyDescent="0.25">
      <c r="A16" s="102" t="s">
        <v>31</v>
      </c>
      <c r="B16" s="184" t="s">
        <v>32</v>
      </c>
      <c r="C16" s="192"/>
      <c r="D16" s="192" t="s">
        <v>33</v>
      </c>
    </row>
    <row r="17" spans="1:4" ht="30" x14ac:dyDescent="0.25">
      <c r="A17" s="34" t="s">
        <v>22</v>
      </c>
      <c r="B17" s="14" t="s">
        <v>23</v>
      </c>
      <c r="C17" s="31" t="s">
        <v>24</v>
      </c>
      <c r="D17" s="22"/>
    </row>
    <row r="18" spans="1:4" x14ac:dyDescent="0.25">
      <c r="A18" s="168"/>
      <c r="B18" s="15"/>
      <c r="C18" s="192"/>
      <c r="D18" s="15"/>
    </row>
    <row r="19" spans="1:4" x14ac:dyDescent="0.25">
      <c r="A19" s="168"/>
      <c r="B19" s="15"/>
      <c r="C19" s="15"/>
      <c r="D19" s="22"/>
    </row>
    <row r="20" spans="1:4" x14ac:dyDescent="0.25">
      <c r="A20" s="49"/>
      <c r="B20" s="15"/>
      <c r="C20" s="15"/>
      <c r="D20" s="15"/>
    </row>
    <row r="21" spans="1:4" x14ac:dyDescent="0.25">
      <c r="A21" s="191"/>
      <c r="B21" s="15"/>
      <c r="C21" s="15"/>
      <c r="D21" s="22"/>
    </row>
    <row r="22" spans="1:4" x14ac:dyDescent="0.25">
      <c r="A22" s="74"/>
      <c r="B22" s="15"/>
      <c r="C22" s="192"/>
      <c r="D22" s="15"/>
    </row>
    <row r="23" spans="1:4" x14ac:dyDescent="0.25">
      <c r="A23" s="74"/>
      <c r="B23" s="193"/>
      <c r="C23" s="194"/>
      <c r="D23" s="15"/>
    </row>
    <row r="24" spans="1:4" ht="33.950000000000003" customHeight="1" x14ac:dyDescent="0.25">
      <c r="A24" s="15"/>
      <c r="B24" s="193"/>
      <c r="C24" s="194"/>
      <c r="D24" s="15"/>
    </row>
    <row r="25" spans="1:4" x14ac:dyDescent="0.25">
      <c r="A25" s="15"/>
      <c r="B25" s="193"/>
      <c r="C25" s="194"/>
      <c r="D25" s="15"/>
    </row>
    <row r="26" spans="1:4" x14ac:dyDescent="0.25">
      <c r="A26" s="15"/>
      <c r="B26" s="193"/>
      <c r="C26" s="194"/>
      <c r="D26" s="15"/>
    </row>
    <row r="27" spans="1:4" x14ac:dyDescent="0.25">
      <c r="A27" s="15"/>
      <c r="B27" s="193"/>
      <c r="C27" s="194"/>
      <c r="D27" s="15"/>
    </row>
    <row r="28" spans="1:4" x14ac:dyDescent="0.25">
      <c r="A28" s="15"/>
      <c r="B28" s="193"/>
      <c r="C28" s="194"/>
      <c r="D28" s="15"/>
    </row>
    <row r="29" spans="1:4" x14ac:dyDescent="0.25">
      <c r="A29" s="15"/>
      <c r="B29" s="193"/>
      <c r="C29" s="194"/>
      <c r="D29" s="15"/>
    </row>
    <row r="30" spans="1:4" x14ac:dyDescent="0.25">
      <c r="A30" s="15"/>
      <c r="B30" s="193"/>
      <c r="C30" s="194"/>
      <c r="D30" s="15"/>
    </row>
    <row r="31" spans="1:4" x14ac:dyDescent="0.25">
      <c r="A31" s="15"/>
      <c r="B31" s="193"/>
      <c r="C31" s="194"/>
      <c r="D31" s="15"/>
    </row>
  </sheetData>
  <protectedRanges>
    <protectedRange sqref="A20" name="SamOnly_1" securityDescriptor="O:WDG:WDD:(A;;CC;;;S-1-5-21-249263827-1212357926-315576832-1035433)"/>
    <protectedRange algorithmName="SHA-512" hashValue="21f8RCaaX0mBDEbChFx6QK86dW6kaFpj3yRcqfzL28q5YQcq9A07up9HGb4Kv1SYCZTV7q7/Z0FaqJB8JUZGwg==" saltValue="utKn3G5cSCY4gJ7aWeoLAA==" spinCount="100000" sqref="A11:A12" name="admin_1_1_1_2"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A8" name="admin_1_1_3"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A3:A7" name="admin_1_1_1_1_1" securityDescriptor="O:WDG:WDD:(A;;CC;;;S-1-5-21-249263827-1212357926-315576832-879671)(A;;CC;;;S-1-5-21-249263827-1212357926-315576832-1035433)(A;;CC;;;S-1-5-21-249263827-1212357926-315576832-924734)"/>
    <protectedRange sqref="A13 A18" name="SamOnly_1_1" securityDescriptor="O:WDG:WDD:(A;;CC;;;S-1-5-21-249263827-1212357926-315576832-1035433)"/>
    <protectedRange algorithmName="SHA-512" hashValue="21f8RCaaX0mBDEbChFx6QK86dW6kaFpj3yRcqfzL28q5YQcq9A07up9HGb4Kv1SYCZTV7q7/Z0FaqJB8JUZGwg==" saltValue="utKn3G5cSCY4gJ7aWeoLAA==" spinCount="100000" sqref="A9" name="admin_1_1_3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A17" name="admin_1_1_1_2_1" securityDescriptor="O:WDG:WDD:(A;;CC;;;S-1-5-21-249263827-1212357926-315576832-879671)(A;;CC;;;S-1-5-21-249263827-1212357926-315576832-1035433)(A;;CC;;;S-1-5-21-249263827-1212357926-315576832-924734)"/>
  </protectedRanges>
  <autoFilter ref="A2:D23" xr:uid="{855064AF-EFF2-4582-BAA2-F28BF07EF784}"/>
  <mergeCells count="1">
    <mergeCell ref="A1:D1"/>
  </mergeCells>
  <dataValidations count="1">
    <dataValidation allowBlank="1" showErrorMessage="1" errorTitle="Invalid" error="Please select a valid entry" sqref="A13 A18:A20" xr:uid="{0031B1C0-E070-4EB9-82D6-36F37FD59632}"/>
  </dataValidations>
  <pageMargins left="0.7" right="0.7" top="0.75" bottom="0.75" header="0.3" footer="0.3"/>
  <pageSetup orientation="portrait" r:id="rId1"/>
  <headerFooter>
    <oddHeader>&amp;L&amp;"Calibri"&amp;10&amp;K0000FF [AMD Official Use Only - AMD Internal Distribution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AC765-24F7-425E-A09E-F1FCF2F641E3}">
  <sheetPr published="0" filterMode="1">
    <tabColor rgb="FF00B050"/>
  </sheetPr>
  <dimension ref="A1:AR119"/>
  <sheetViews>
    <sheetView zoomScale="85" zoomScaleNormal="85" workbookViewId="0">
      <pane xSplit="7" ySplit="5" topLeftCell="H6" activePane="bottomRight" state="frozen"/>
      <selection pane="topRight" activeCell="H1" sqref="H1"/>
      <selection pane="bottomLeft" activeCell="A6" sqref="A6"/>
      <selection pane="bottomRight" activeCell="F26" sqref="F26"/>
    </sheetView>
  </sheetViews>
  <sheetFormatPr defaultColWidth="8.42578125" defaultRowHeight="15" outlineLevelRow="1" outlineLevelCol="1" x14ac:dyDescent="0.25"/>
  <cols>
    <col min="1" max="1" width="10.42578125" customWidth="1" outlineLevel="1"/>
    <col min="2" max="2" width="10.42578125" customWidth="1"/>
    <col min="3" max="3" width="24.140625" customWidth="1"/>
    <col min="4" max="4" width="35" customWidth="1"/>
    <col min="5" max="5" width="9.42578125" customWidth="1" outlineLevel="1"/>
    <col min="6" max="6" width="20" customWidth="1" outlineLevel="1"/>
    <col min="7" max="7" width="19.5703125" bestFit="1" customWidth="1"/>
    <col min="8" max="11" width="6.42578125" customWidth="1"/>
    <col min="12" max="12" width="6.42578125" customWidth="1" outlineLevel="1"/>
    <col min="13" max="13" width="6.5703125" customWidth="1" outlineLevel="1"/>
    <col min="14" max="14" width="7" customWidth="1" outlineLevel="1"/>
    <col min="15" max="15" width="7.42578125" customWidth="1" outlineLevel="1"/>
    <col min="16" max="26" width="6.5703125" customWidth="1" outlineLevel="1"/>
    <col min="27" max="27" width="6.42578125" customWidth="1" outlineLevel="1"/>
    <col min="28" max="35" width="6.42578125" hidden="1" customWidth="1" outlineLevel="1"/>
    <col min="36" max="36" width="11.42578125" bestFit="1" customWidth="1"/>
    <col min="37" max="37" width="9.42578125" customWidth="1"/>
    <col min="38" max="38" width="11.42578125" customWidth="1" outlineLevel="1"/>
    <col min="39" max="39" width="13.42578125" bestFit="1" customWidth="1"/>
    <col min="40" max="40" width="16.42578125" customWidth="1"/>
    <col min="41" max="41" width="6.42578125" bestFit="1" customWidth="1"/>
    <col min="42" max="44" width="8.42578125" customWidth="1"/>
    <col min="45" max="45" width="67.5703125" customWidth="1"/>
    <col min="46" max="46" width="8.42578125" customWidth="1"/>
  </cols>
  <sheetData>
    <row r="1" spans="1:44" ht="19.5" customHeight="1" x14ac:dyDescent="0.25">
      <c r="A1" s="97" t="str">
        <f>_xlfn.XLOOKUP(AN2,Status,statusnote,"",0,1)</f>
        <v>Sizing is OPEN.  Please UPDATE your estimates for your teams in this sheet.  Also UPDATE the scope, assumptions and risks in the Assumptions tab.</v>
      </c>
      <c r="B1" s="98"/>
      <c r="C1" s="98"/>
      <c r="D1" s="37"/>
      <c r="E1" s="37"/>
      <c r="F1" s="37"/>
      <c r="G1" s="37"/>
      <c r="H1" s="95"/>
      <c r="I1" s="95"/>
      <c r="J1" s="95"/>
      <c r="K1" s="95"/>
      <c r="L1" s="95"/>
      <c r="M1" s="95"/>
      <c r="N1" s="95"/>
      <c r="O1" s="95"/>
      <c r="P1" s="95"/>
      <c r="Q1" s="95"/>
      <c r="R1" s="95"/>
      <c r="S1" s="96"/>
      <c r="T1" s="96"/>
      <c r="U1" s="96"/>
      <c r="V1" s="96"/>
      <c r="W1" s="38"/>
      <c r="X1" s="38"/>
      <c r="Y1" s="38"/>
      <c r="Z1" s="38"/>
      <c r="AA1" s="38"/>
      <c r="AB1" s="38"/>
      <c r="AC1" s="38"/>
      <c r="AD1" s="38"/>
      <c r="AE1" s="38"/>
      <c r="AF1" s="38"/>
      <c r="AG1" s="38"/>
      <c r="AH1" s="38"/>
      <c r="AI1" s="38"/>
      <c r="AJ1" s="38"/>
      <c r="AK1" s="38"/>
      <c r="AL1" s="38"/>
      <c r="AM1" s="39"/>
      <c r="AN1" s="200" t="s">
        <v>34</v>
      </c>
      <c r="AO1" s="201"/>
      <c r="AP1" s="40"/>
      <c r="AQ1" s="40"/>
      <c r="AR1" s="40"/>
    </row>
    <row r="2" spans="1:44" ht="75.75" customHeight="1" x14ac:dyDescent="0.25">
      <c r="A2" s="202" t="str" cm="1">
        <f t="array" aca="1" ref="A2" ca="1">MID(CELL("filename",A1),FIND("]",CELL("filename",A1))+1,256)</f>
        <v>Capitola C40 v1.0 r2 (EPD)</v>
      </c>
      <c r="B2" s="202"/>
      <c r="C2" s="203"/>
      <c r="D2" s="204" t="s">
        <v>35</v>
      </c>
      <c r="E2" s="205"/>
      <c r="F2" s="205"/>
      <c r="G2" s="205"/>
      <c r="H2" s="41"/>
      <c r="I2" s="41"/>
      <c r="J2" s="41"/>
      <c r="K2" s="110"/>
      <c r="L2" s="110"/>
      <c r="M2" s="110"/>
      <c r="N2" s="110"/>
      <c r="O2" s="41"/>
      <c r="P2" s="41"/>
      <c r="Q2" s="41"/>
      <c r="R2" s="41"/>
      <c r="S2" s="41"/>
      <c r="T2" s="41"/>
      <c r="U2" s="41"/>
      <c r="V2" s="41"/>
      <c r="W2" s="41"/>
      <c r="X2" s="41"/>
      <c r="Y2" s="41"/>
      <c r="Z2" s="41"/>
      <c r="AA2" s="41"/>
      <c r="AB2" s="41"/>
      <c r="AC2" s="41"/>
      <c r="AD2" s="41"/>
      <c r="AE2" s="41"/>
      <c r="AF2" s="41"/>
      <c r="AG2" s="41"/>
      <c r="AH2" s="41"/>
      <c r="AI2" s="41"/>
      <c r="AJ2" s="109"/>
      <c r="AK2" s="109"/>
      <c r="AL2" s="109"/>
      <c r="AM2" s="109"/>
      <c r="AN2" s="206" t="s">
        <v>36</v>
      </c>
      <c r="AO2" s="207"/>
      <c r="AP2" s="20"/>
      <c r="AQ2" s="20"/>
      <c r="AR2" s="20"/>
    </row>
    <row r="3" spans="1:44" x14ac:dyDescent="0.25">
      <c r="A3" s="210" t="s">
        <v>37</v>
      </c>
      <c r="B3" s="211"/>
      <c r="C3" s="214">
        <v>46195</v>
      </c>
      <c r="D3" s="216" t="s">
        <v>38</v>
      </c>
      <c r="E3" s="217"/>
      <c r="F3" s="217"/>
      <c r="G3" s="217"/>
      <c r="H3" s="41"/>
      <c r="I3" s="41"/>
      <c r="J3" s="41"/>
      <c r="K3" s="110"/>
      <c r="L3" s="110" t="s">
        <v>39</v>
      </c>
      <c r="M3" s="110" t="s">
        <v>40</v>
      </c>
      <c r="N3" s="110" t="s">
        <v>41</v>
      </c>
      <c r="O3" s="110" t="s">
        <v>42</v>
      </c>
      <c r="P3" s="110" t="s">
        <v>43</v>
      </c>
      <c r="Q3" s="110" t="s">
        <v>44</v>
      </c>
      <c r="R3" s="110"/>
      <c r="S3" s="110"/>
      <c r="T3" s="110"/>
      <c r="U3" s="110"/>
      <c r="V3" s="110" t="s">
        <v>45</v>
      </c>
      <c r="W3" s="110"/>
      <c r="X3" s="41"/>
      <c r="Y3" s="41"/>
      <c r="Z3" s="41"/>
      <c r="AA3" s="41"/>
      <c r="AB3" s="41"/>
      <c r="AC3" s="41"/>
      <c r="AD3" s="41"/>
      <c r="AE3" s="41"/>
      <c r="AF3" s="41"/>
      <c r="AG3" s="41"/>
      <c r="AH3" s="41"/>
      <c r="AI3" s="41"/>
      <c r="AJ3" s="109"/>
      <c r="AK3" s="109"/>
      <c r="AL3" s="109"/>
      <c r="AM3" s="109"/>
      <c r="AN3" s="206"/>
      <c r="AO3" s="207"/>
      <c r="AP3" s="20"/>
      <c r="AQ3" s="20"/>
      <c r="AR3" s="20"/>
    </row>
    <row r="4" spans="1:44" ht="15.75" customHeight="1" x14ac:dyDescent="0.25">
      <c r="A4" s="212"/>
      <c r="B4" s="213"/>
      <c r="C4" s="215"/>
      <c r="D4" s="218" t="s">
        <v>46</v>
      </c>
      <c r="E4" s="219"/>
      <c r="F4" s="219"/>
      <c r="G4" s="220"/>
      <c r="H4" s="221">
        <v>2026</v>
      </c>
      <c r="I4" s="222"/>
      <c r="J4" s="222"/>
      <c r="K4" s="223"/>
      <c r="L4" s="221">
        <f>H4+1</f>
        <v>2027</v>
      </c>
      <c r="M4" s="222"/>
      <c r="N4" s="222"/>
      <c r="O4" s="223"/>
      <c r="P4" s="224">
        <f>L4+1</f>
        <v>2028</v>
      </c>
      <c r="Q4" s="224"/>
      <c r="R4" s="224"/>
      <c r="S4" s="224"/>
      <c r="T4" s="224">
        <f>P4+1</f>
        <v>2029</v>
      </c>
      <c r="U4" s="224"/>
      <c r="V4" s="224"/>
      <c r="W4" s="224"/>
      <c r="X4" s="224">
        <f>T4+1</f>
        <v>2030</v>
      </c>
      <c r="Y4" s="224"/>
      <c r="Z4" s="224"/>
      <c r="AA4" s="224"/>
      <c r="AB4" s="224">
        <f>X4+1</f>
        <v>2031</v>
      </c>
      <c r="AC4" s="224"/>
      <c r="AD4" s="224"/>
      <c r="AE4" s="224"/>
      <c r="AF4" s="224">
        <f>AB4+1</f>
        <v>2032</v>
      </c>
      <c r="AG4" s="224"/>
      <c r="AH4" s="224"/>
      <c r="AI4" s="224"/>
      <c r="AJ4" s="143">
        <f>SUBTOTAL(9,AJ6:AJ65)</f>
        <v>15.1</v>
      </c>
      <c r="AK4" s="144">
        <f>SUBTOTAL(9,AK6:AK65)</f>
        <v>4</v>
      </c>
      <c r="AL4" s="141">
        <f>AVERAGE(AL6:AL65)</f>
        <v>12978.674771308493</v>
      </c>
      <c r="AM4" s="142">
        <f>SUBTOTAL(9,AM6:AM65)</f>
        <v>455087.56767780281</v>
      </c>
      <c r="AN4" s="208"/>
      <c r="AO4" s="209"/>
      <c r="AP4" s="20"/>
      <c r="AQ4" s="20"/>
      <c r="AR4" s="20"/>
    </row>
    <row r="5" spans="1:44" ht="33" customHeight="1" x14ac:dyDescent="0.25">
      <c r="A5" s="42" t="s">
        <v>47</v>
      </c>
      <c r="B5" s="42" t="s">
        <v>48</v>
      </c>
      <c r="C5" s="42" t="s">
        <v>49</v>
      </c>
      <c r="D5" s="43" t="s">
        <v>50</v>
      </c>
      <c r="E5" s="43" t="s">
        <v>51</v>
      </c>
      <c r="F5" s="42" t="s">
        <v>52</v>
      </c>
      <c r="G5" s="43" t="s">
        <v>53</v>
      </c>
      <c r="H5" s="44" t="str">
        <f>"Q1"&amp;RIGHT(H4,2)</f>
        <v>Q126</v>
      </c>
      <c r="I5" s="44" t="str">
        <f>"Q"&amp;MID(H5,2,1)+1&amp;RIGHT(H4,2)</f>
        <v>Q226</v>
      </c>
      <c r="J5" s="44" t="str">
        <f>"Q"&amp;MID(I5,2,1)+1&amp;RIGHT(H4,2)</f>
        <v>Q326</v>
      </c>
      <c r="K5" s="44" t="str">
        <f>"Q"&amp;MID(J5,2,1)+1&amp;RIGHT(H4,2)</f>
        <v>Q426</v>
      </c>
      <c r="L5" s="44" t="str">
        <f>"Q1"&amp;RIGHT(L4,2)</f>
        <v>Q127</v>
      </c>
      <c r="M5" s="44" t="str">
        <f>"Q"&amp;MID(L5,2,1)+1&amp;RIGHT(L4,2)</f>
        <v>Q227</v>
      </c>
      <c r="N5" s="44" t="str">
        <f>"Q"&amp;MID(M5,2,1)+1&amp;RIGHT(L4,2)</f>
        <v>Q327</v>
      </c>
      <c r="O5" s="44" t="str">
        <f>"Q"&amp;MID(N5,2,1)+1&amp;RIGHT(L4,2)</f>
        <v>Q427</v>
      </c>
      <c r="P5" s="44" t="str">
        <f>"Q1"&amp;RIGHT(P4,2)</f>
        <v>Q128</v>
      </c>
      <c r="Q5" s="44" t="str">
        <f>"Q"&amp;MID(P5,2,1)+1&amp;RIGHT(P4,2)</f>
        <v>Q228</v>
      </c>
      <c r="R5" s="44" t="str">
        <f>"Q"&amp;MID(Q5,2,1)+1&amp;RIGHT(P4,2)</f>
        <v>Q328</v>
      </c>
      <c r="S5" s="44" t="str">
        <f>"Q"&amp;MID(R5,2,1)+1&amp;RIGHT(P4,2)</f>
        <v>Q428</v>
      </c>
      <c r="T5" s="44" t="str">
        <f>"Q1"&amp;RIGHT(T4,2)</f>
        <v>Q129</v>
      </c>
      <c r="U5" s="44" t="str">
        <f>"Q"&amp;MID(T5,2,1)+1&amp;RIGHT(T4,2)</f>
        <v>Q229</v>
      </c>
      <c r="V5" s="44" t="str">
        <f>"Q"&amp;MID(U5,2,1)+1&amp;RIGHT(T4,2)</f>
        <v>Q329</v>
      </c>
      <c r="W5" s="44" t="str">
        <f>"Q"&amp;MID(V5,2,1)+1&amp;RIGHT(T4,2)</f>
        <v>Q429</v>
      </c>
      <c r="X5" s="44" t="str">
        <f>"Q1"&amp;RIGHT(X4,2)</f>
        <v>Q130</v>
      </c>
      <c r="Y5" s="44" t="str">
        <f>"Q"&amp;MID(X5,2,1)+1&amp;RIGHT(X4,2)</f>
        <v>Q230</v>
      </c>
      <c r="Z5" s="44" t="str">
        <f>"Q"&amp;MID(Y5,2,1)+1&amp;RIGHT(X4,2)</f>
        <v>Q330</v>
      </c>
      <c r="AA5" s="44" t="str">
        <f>"Q"&amp;MID(Z5,2,1)+1&amp;RIGHT(X4,2)</f>
        <v>Q430</v>
      </c>
      <c r="AB5" s="44" t="str">
        <f>"Q1"&amp;RIGHT(AB4,2)</f>
        <v>Q131</v>
      </c>
      <c r="AC5" s="44" t="str">
        <f>"Q"&amp;MID(AB5,2,1)+1&amp;RIGHT(AB4,2)</f>
        <v>Q231</v>
      </c>
      <c r="AD5" s="44" t="str">
        <f>"Q"&amp;MID(AC5,2,1)+1&amp;RIGHT(AB4,2)</f>
        <v>Q331</v>
      </c>
      <c r="AE5" s="44" t="str">
        <f>"Q"&amp;MID(AD5,2,1)+1&amp;RIGHT(AB4,2)</f>
        <v>Q431</v>
      </c>
      <c r="AF5" s="44" t="str">
        <f>"Q1"&amp;RIGHT(AF4,2)</f>
        <v>Q132</v>
      </c>
      <c r="AG5" s="44" t="str">
        <f>"Q"&amp;MID(AF5,2,1)+1&amp;RIGHT(AF4,2)</f>
        <v>Q232</v>
      </c>
      <c r="AH5" s="44" t="str">
        <f>"Q"&amp;MID(AG5,2,1)+1&amp;RIGHT(AF4,2)</f>
        <v>Q332</v>
      </c>
      <c r="AI5" s="44" t="str">
        <f>"Q"&amp;MID(AH5,2,1)+1&amp;RIGHT(AF4,2)</f>
        <v>Q432</v>
      </c>
      <c r="AJ5" s="45" t="s">
        <v>54</v>
      </c>
      <c r="AK5" s="45" t="s">
        <v>55</v>
      </c>
      <c r="AL5" s="148" t="s">
        <v>56</v>
      </c>
      <c r="AM5" s="148" t="s">
        <v>57</v>
      </c>
      <c r="AN5" s="46" t="s">
        <v>58</v>
      </c>
      <c r="AO5" s="47" t="s">
        <v>59</v>
      </c>
      <c r="AP5" s="48"/>
      <c r="AQ5" s="48"/>
      <c r="AR5" s="48"/>
    </row>
    <row r="6" spans="1:44" hidden="1" x14ac:dyDescent="0.25">
      <c r="A6" s="53" t="str" cm="1">
        <f t="array" aca="1" ref="A6" ca="1">IFERROR(IF(AM6&gt;0,IF(_xlfn.XLOOKUP(F6,INDIRECT(B6),INDIRECT(B6),"NO")="NO","",_xlfn.XLOOKUP($C6,LUT!$B$3:$B$200,LUT!$D$3:$D$200,"")&amp;""),""),"")</f>
        <v>PFO</v>
      </c>
      <c r="B6" s="54" t="s">
        <v>60</v>
      </c>
      <c r="C6" s="56" t="s">
        <v>61</v>
      </c>
      <c r="D6" s="88" t="s">
        <v>62</v>
      </c>
      <c r="E6" s="88" t="s">
        <v>63</v>
      </c>
      <c r="F6" s="55" t="s">
        <v>64</v>
      </c>
      <c r="G6" s="101" t="s">
        <v>65</v>
      </c>
      <c r="H6" s="117"/>
      <c r="I6" s="117"/>
      <c r="J6" s="117">
        <v>0.75</v>
      </c>
      <c r="K6" s="117">
        <v>1</v>
      </c>
      <c r="L6" s="117">
        <v>1</v>
      </c>
      <c r="M6" s="117">
        <v>1</v>
      </c>
      <c r="N6" s="117">
        <v>1</v>
      </c>
      <c r="O6" s="117">
        <v>1</v>
      </c>
      <c r="P6" s="117">
        <v>1</v>
      </c>
      <c r="Q6" s="117">
        <v>1</v>
      </c>
      <c r="R6" s="117">
        <v>0.75</v>
      </c>
      <c r="S6" s="117"/>
      <c r="T6" s="117"/>
      <c r="U6" s="117"/>
      <c r="V6" s="117"/>
      <c r="W6" s="117"/>
      <c r="X6" s="117"/>
      <c r="Y6" s="117"/>
      <c r="Z6" s="117"/>
      <c r="AA6" s="117"/>
      <c r="AB6" s="117"/>
      <c r="AC6" s="117"/>
      <c r="AD6" s="117"/>
      <c r="AE6" s="117"/>
      <c r="AF6" s="117"/>
      <c r="AG6" s="117"/>
      <c r="AH6" s="117"/>
      <c r="AI6" s="117"/>
      <c r="AJ6" s="118">
        <f t="shared" ref="AJ6:AJ38" si="0">SUM(H6:AI6)</f>
        <v>8.5</v>
      </c>
      <c r="AK6" s="119">
        <f t="shared" ref="AK6:AK38" si="1">MAX(H6:AI6)</f>
        <v>1</v>
      </c>
      <c r="AL6" s="129">
        <f t="shared" ref="AL6:AL38" si="2">_xlfn.XLOOKUP(E6,Location,labour,0)</f>
        <v>30138.249515086281</v>
      </c>
      <c r="AM6" s="128">
        <f t="shared" ref="AM6:AM38" si="3">AL6*AJ6</f>
        <v>256175.1208782334</v>
      </c>
      <c r="AN6" s="50"/>
      <c r="AO6" s="51"/>
      <c r="AP6" s="21"/>
      <c r="AQ6" s="52"/>
    </row>
    <row r="7" spans="1:44" hidden="1" x14ac:dyDescent="0.25">
      <c r="A7" s="53" t="str" cm="1">
        <f t="array" aca="1" ref="A7" ca="1">IFERROR(IF(AM7&gt;0,IF(_xlfn.XLOOKUP(F7,INDIRECT(B7),INDIRECT(B7),"NO")="NO","",_xlfn.XLOOKUP($C7,LUT!$B$3:$B$200,LUT!$D$3:$D$200,"")&amp;""),""),"")</f>
        <v>PFO</v>
      </c>
      <c r="B7" s="54" t="s">
        <v>60</v>
      </c>
      <c r="C7" s="56" t="s">
        <v>66</v>
      </c>
      <c r="D7" s="88" t="s">
        <v>67</v>
      </c>
      <c r="E7" s="88" t="s">
        <v>63</v>
      </c>
      <c r="F7" s="55" t="s">
        <v>68</v>
      </c>
      <c r="G7" s="101" t="s">
        <v>65</v>
      </c>
      <c r="H7" s="117"/>
      <c r="I7" s="117"/>
      <c r="J7" s="117"/>
      <c r="K7" s="117"/>
      <c r="L7" s="117">
        <v>1</v>
      </c>
      <c r="M7" s="117">
        <v>1</v>
      </c>
      <c r="N7" s="117">
        <v>1.5</v>
      </c>
      <c r="O7" s="117">
        <v>1.5</v>
      </c>
      <c r="P7" s="117">
        <v>1</v>
      </c>
      <c r="Q7" s="117">
        <v>1</v>
      </c>
      <c r="R7" s="117">
        <v>1</v>
      </c>
      <c r="S7" s="117"/>
      <c r="T7" s="117"/>
      <c r="U7" s="117"/>
      <c r="V7" s="117"/>
      <c r="W7" s="117"/>
      <c r="X7" s="117"/>
      <c r="Y7" s="117"/>
      <c r="Z7" s="117"/>
      <c r="AA7" s="117"/>
      <c r="AB7" s="117"/>
      <c r="AC7" s="117"/>
      <c r="AD7" s="117"/>
      <c r="AE7" s="117"/>
      <c r="AF7" s="117"/>
      <c r="AG7" s="117"/>
      <c r="AH7" s="117"/>
      <c r="AI7" s="117"/>
      <c r="AJ7" s="118">
        <f t="shared" si="0"/>
        <v>8</v>
      </c>
      <c r="AK7" s="119">
        <f t="shared" si="1"/>
        <v>1.5</v>
      </c>
      <c r="AL7" s="129">
        <f t="shared" si="2"/>
        <v>30138.249515086281</v>
      </c>
      <c r="AM7" s="128">
        <f t="shared" si="3"/>
        <v>241105.99612069025</v>
      </c>
      <c r="AN7" s="50"/>
      <c r="AO7" s="51"/>
      <c r="AP7" s="21"/>
      <c r="AQ7" s="52"/>
    </row>
    <row r="8" spans="1:44" hidden="1" x14ac:dyDescent="0.25">
      <c r="A8" s="53" t="str" cm="1">
        <f t="array" aca="1" ref="A8" ca="1">IFERROR(IF(AM8&gt;0,IF(_xlfn.XLOOKUP(F8,INDIRECT(B8),INDIRECT(B8),"NO")="NO","",_xlfn.XLOOKUP($C8,LUT!$B$3:$B$200,LUT!$D$3:$D$200,"")&amp;""),""),"")</f>
        <v>PFO</v>
      </c>
      <c r="B8" s="54" t="s">
        <v>60</v>
      </c>
      <c r="C8" s="56" t="s">
        <v>66</v>
      </c>
      <c r="D8" s="177" t="s">
        <v>69</v>
      </c>
      <c r="E8" s="88" t="s">
        <v>63</v>
      </c>
      <c r="F8" s="55" t="s">
        <v>68</v>
      </c>
      <c r="G8" s="101" t="s">
        <v>65</v>
      </c>
      <c r="H8" s="117"/>
      <c r="I8" s="117"/>
      <c r="J8" s="117"/>
      <c r="K8" s="117"/>
      <c r="L8" s="117">
        <v>1</v>
      </c>
      <c r="M8" s="117">
        <v>2</v>
      </c>
      <c r="N8" s="117">
        <v>2</v>
      </c>
      <c r="O8" s="117">
        <v>2</v>
      </c>
      <c r="P8" s="117">
        <v>2</v>
      </c>
      <c r="Q8" s="117">
        <v>2</v>
      </c>
      <c r="R8" s="117"/>
      <c r="S8" s="117"/>
      <c r="T8" s="117"/>
      <c r="U8" s="117"/>
      <c r="V8" s="117"/>
      <c r="W8" s="117"/>
      <c r="X8" s="117"/>
      <c r="Y8" s="117"/>
      <c r="Z8" s="117"/>
      <c r="AA8" s="117"/>
      <c r="AB8" s="117"/>
      <c r="AC8" s="117"/>
      <c r="AD8" s="117"/>
      <c r="AE8" s="117"/>
      <c r="AF8" s="117"/>
      <c r="AG8" s="117"/>
      <c r="AH8" s="117"/>
      <c r="AI8" s="117"/>
      <c r="AJ8" s="118">
        <f t="shared" si="0"/>
        <v>11</v>
      </c>
      <c r="AK8" s="119">
        <f t="shared" si="1"/>
        <v>2</v>
      </c>
      <c r="AL8" s="129">
        <f t="shared" si="2"/>
        <v>30138.249515086281</v>
      </c>
      <c r="AM8" s="128">
        <f t="shared" si="3"/>
        <v>331520.74466594908</v>
      </c>
      <c r="AN8" s="50"/>
      <c r="AO8" s="51" t="str">
        <f ca="1">IF($AM8&gt;0,IF(AND($G8&lt;&gt;"",$F8&lt;&gt;"",$A8&lt;&gt;"",$B8&lt;&gt;"",$C8&lt;&gt;""),"","Check"),"")</f>
        <v/>
      </c>
      <c r="AP8" s="21"/>
      <c r="AQ8" s="52"/>
    </row>
    <row r="9" spans="1:44" hidden="1" x14ac:dyDescent="0.25">
      <c r="A9" s="53" t="str" cm="1">
        <f t="array" aca="1" ref="A9" ca="1">IFERROR(IF(AM9&gt;0,IF(_xlfn.XLOOKUP(F9,INDIRECT(B9),INDIRECT(B9),"NO")="NO","",_xlfn.XLOOKUP($C9,LUT!$B$3:$B$200,LUT!$D$3:$D$200,"")&amp;""),""),"")</f>
        <v>PFO</v>
      </c>
      <c r="B9" s="54" t="s">
        <v>60</v>
      </c>
      <c r="C9" s="56" t="s">
        <v>66</v>
      </c>
      <c r="D9" s="177" t="s">
        <v>318</v>
      </c>
      <c r="E9" s="88" t="s">
        <v>63</v>
      </c>
      <c r="F9" s="55" t="s">
        <v>68</v>
      </c>
      <c r="G9" s="101" t="s">
        <v>65</v>
      </c>
      <c r="H9" s="117"/>
      <c r="I9" s="117"/>
      <c r="J9" s="117"/>
      <c r="K9" s="117"/>
      <c r="L9" s="117"/>
      <c r="M9" s="117">
        <v>1</v>
      </c>
      <c r="N9" s="117">
        <v>1</v>
      </c>
      <c r="O9" s="117">
        <v>2</v>
      </c>
      <c r="P9" s="117">
        <v>2</v>
      </c>
      <c r="Q9" s="117">
        <v>2.5</v>
      </c>
      <c r="R9" s="117">
        <v>2.5</v>
      </c>
      <c r="S9" s="117">
        <v>2.5</v>
      </c>
      <c r="T9" s="117">
        <v>2.5</v>
      </c>
      <c r="U9" s="117">
        <v>2</v>
      </c>
      <c r="V9" s="117">
        <v>1</v>
      </c>
      <c r="W9" s="117">
        <v>0.5</v>
      </c>
      <c r="X9" s="117"/>
      <c r="Y9" s="117"/>
      <c r="Z9" s="117"/>
      <c r="AA9" s="117"/>
      <c r="AB9" s="117"/>
      <c r="AC9" s="117"/>
      <c r="AD9" s="117"/>
      <c r="AE9" s="117"/>
      <c r="AF9" s="117"/>
      <c r="AG9" s="117"/>
      <c r="AH9" s="117"/>
      <c r="AI9" s="117"/>
      <c r="AJ9" s="118">
        <f>SUM(H9:AI9)</f>
        <v>19.5</v>
      </c>
      <c r="AK9" s="119">
        <f>MAX(H9:AI9)</f>
        <v>2.5</v>
      </c>
      <c r="AL9" s="129">
        <f>_xlfn.XLOOKUP(E9,Location,labour,0)</f>
        <v>30138.249515086281</v>
      </c>
      <c r="AM9" s="128">
        <f>AL9*AJ9</f>
        <v>587695.86554418248</v>
      </c>
      <c r="AN9" s="50"/>
      <c r="AO9" s="51"/>
      <c r="AP9" s="21"/>
      <c r="AQ9" s="52"/>
    </row>
    <row r="10" spans="1:44" hidden="1" x14ac:dyDescent="0.25">
      <c r="A10" s="53" t="str" cm="1">
        <f t="array" aca="1" ref="A10" ca="1">IFERROR(IF(AM10&gt;0,IF(_xlfn.XLOOKUP(F10,INDIRECT(B10),INDIRECT(B10),"NO")="NO","",_xlfn.XLOOKUP($C10,LUT!$B$3:$B$200,LUT!$D$3:$D$200,"")&amp;""),""),"")</f>
        <v>PFO</v>
      </c>
      <c r="B10" s="54" t="s">
        <v>60</v>
      </c>
      <c r="C10" s="56" t="s">
        <v>70</v>
      </c>
      <c r="D10" s="176" t="s">
        <v>22</v>
      </c>
      <c r="E10" s="88" t="s">
        <v>63</v>
      </c>
      <c r="F10" s="55" t="s">
        <v>71</v>
      </c>
      <c r="G10" s="101" t="s">
        <v>65</v>
      </c>
      <c r="H10" s="117"/>
      <c r="I10" s="117"/>
      <c r="J10" s="117"/>
      <c r="K10" s="117"/>
      <c r="L10" s="117"/>
      <c r="M10" s="117">
        <v>2</v>
      </c>
      <c r="N10" s="117">
        <v>2</v>
      </c>
      <c r="O10" s="117">
        <v>2</v>
      </c>
      <c r="P10" s="117">
        <v>2</v>
      </c>
      <c r="Q10" s="117">
        <v>2</v>
      </c>
      <c r="R10" s="117">
        <v>1</v>
      </c>
      <c r="S10" s="117"/>
      <c r="T10" s="117"/>
      <c r="U10" s="117"/>
      <c r="V10" s="117"/>
      <c r="W10" s="117"/>
      <c r="X10" s="117"/>
      <c r="Y10" s="117"/>
      <c r="Z10" s="117"/>
      <c r="AA10" s="117"/>
      <c r="AB10" s="117"/>
      <c r="AC10" s="117"/>
      <c r="AD10" s="117"/>
      <c r="AE10" s="117"/>
      <c r="AF10" s="117"/>
      <c r="AG10" s="117"/>
      <c r="AH10" s="117"/>
      <c r="AI10" s="117"/>
      <c r="AJ10" s="118">
        <f t="shared" si="0"/>
        <v>11</v>
      </c>
      <c r="AK10" s="119">
        <f t="shared" si="1"/>
        <v>2</v>
      </c>
      <c r="AL10" s="129">
        <f t="shared" si="2"/>
        <v>30138.249515086281</v>
      </c>
      <c r="AM10" s="128">
        <f t="shared" si="3"/>
        <v>331520.74466594908</v>
      </c>
      <c r="AN10" s="50"/>
      <c r="AO10" s="51" t="str">
        <f ca="1">IF($AM10&gt;0,IF(AND($G10&lt;&gt;"",$F10&lt;&gt;"",$A10&lt;&gt;"",$B10&lt;&gt;"",$C10&lt;&gt;""),"","Check"),"")</f>
        <v/>
      </c>
      <c r="AP10" s="21"/>
      <c r="AQ10" s="52"/>
    </row>
    <row r="11" spans="1:44" hidden="1" x14ac:dyDescent="0.25">
      <c r="A11" s="53" t="str" cm="1">
        <f t="array" aca="1" ref="A11" ca="1">IFERROR(IF(AM11&gt;0,IF(_xlfn.XLOOKUP(F11,INDIRECT(B11),INDIRECT(B11),"NO")="NO","",_xlfn.XLOOKUP($C11,LUT!$B$3:$B$200,LUT!$D$3:$D$200,"")&amp;""),""),"")</f>
        <v>PFO</v>
      </c>
      <c r="B11" s="54" t="s">
        <v>60</v>
      </c>
      <c r="C11" s="56" t="s">
        <v>30</v>
      </c>
      <c r="D11" s="176" t="s">
        <v>72</v>
      </c>
      <c r="E11" s="88" t="s">
        <v>63</v>
      </c>
      <c r="F11" s="55" t="s">
        <v>73</v>
      </c>
      <c r="G11" s="101" t="s">
        <v>65</v>
      </c>
      <c r="H11" s="117"/>
      <c r="I11" s="117"/>
      <c r="J11" s="117"/>
      <c r="K11" s="117"/>
      <c r="L11" s="117">
        <v>1.5</v>
      </c>
      <c r="M11" s="117">
        <v>3</v>
      </c>
      <c r="N11" s="117">
        <v>3</v>
      </c>
      <c r="O11" s="117">
        <v>3</v>
      </c>
      <c r="P11" s="117">
        <v>3</v>
      </c>
      <c r="Q11" s="117">
        <v>3</v>
      </c>
      <c r="R11" s="117">
        <v>0.5</v>
      </c>
      <c r="S11" s="117">
        <v>0.5</v>
      </c>
      <c r="T11" s="117">
        <v>0</v>
      </c>
      <c r="U11" s="117"/>
      <c r="V11" s="117"/>
      <c r="W11" s="117"/>
      <c r="X11" s="117"/>
      <c r="Y11" s="117"/>
      <c r="Z11" s="117"/>
      <c r="AA11" s="117"/>
      <c r="AB11" s="117"/>
      <c r="AC11" s="117"/>
      <c r="AD11" s="117"/>
      <c r="AE11" s="117"/>
      <c r="AF11" s="117"/>
      <c r="AG11" s="117"/>
      <c r="AH11" s="117"/>
      <c r="AI11" s="117"/>
      <c r="AJ11" s="118">
        <f t="shared" si="0"/>
        <v>17.5</v>
      </c>
      <c r="AK11" s="119">
        <f t="shared" si="1"/>
        <v>3</v>
      </c>
      <c r="AL11" s="129">
        <f t="shared" si="2"/>
        <v>30138.249515086281</v>
      </c>
      <c r="AM11" s="128">
        <f t="shared" si="3"/>
        <v>527419.36651400989</v>
      </c>
      <c r="AN11" s="50"/>
      <c r="AO11" s="51"/>
      <c r="AP11" s="21"/>
      <c r="AQ11" s="52"/>
    </row>
    <row r="12" spans="1:44" hidden="1" x14ac:dyDescent="0.25">
      <c r="A12" s="53" t="str" cm="1">
        <f t="array" aca="1" ref="A12" ca="1">IFERROR(IF(AM12&gt;0,IF(_xlfn.XLOOKUP(F12,INDIRECT(B12),INDIRECT(B12),"NO")="NO","",_xlfn.XLOOKUP($C12,LUT!$B$3:$B$200,LUT!$D$3:$D$200,"")&amp;""),""),"")</f>
        <v>PFO</v>
      </c>
      <c r="B12" s="54" t="s">
        <v>60</v>
      </c>
      <c r="C12" s="56" t="s">
        <v>30</v>
      </c>
      <c r="D12" s="176" t="s">
        <v>74</v>
      </c>
      <c r="E12" s="88" t="s">
        <v>63</v>
      </c>
      <c r="F12" s="55" t="s">
        <v>73</v>
      </c>
      <c r="G12" s="101" t="s">
        <v>65</v>
      </c>
      <c r="H12" s="117"/>
      <c r="I12" s="117"/>
      <c r="J12" s="117"/>
      <c r="K12" s="117"/>
      <c r="L12" s="117">
        <v>2</v>
      </c>
      <c r="M12" s="117">
        <v>2</v>
      </c>
      <c r="N12" s="117">
        <v>2</v>
      </c>
      <c r="O12" s="117">
        <v>2</v>
      </c>
      <c r="P12" s="117">
        <v>2</v>
      </c>
      <c r="Q12" s="117">
        <v>2</v>
      </c>
      <c r="R12" s="117">
        <v>1</v>
      </c>
      <c r="S12" s="117">
        <v>1</v>
      </c>
      <c r="T12" s="117"/>
      <c r="U12" s="117"/>
      <c r="V12" s="117"/>
      <c r="W12" s="117"/>
      <c r="X12" s="117"/>
      <c r="Y12" s="117"/>
      <c r="Z12" s="117"/>
      <c r="AA12" s="117"/>
      <c r="AB12" s="117"/>
      <c r="AC12" s="117"/>
      <c r="AD12" s="117"/>
      <c r="AE12" s="117"/>
      <c r="AF12" s="117"/>
      <c r="AG12" s="117"/>
      <c r="AH12" s="117"/>
      <c r="AI12" s="117"/>
      <c r="AJ12" s="118">
        <f t="shared" si="0"/>
        <v>14</v>
      </c>
      <c r="AK12" s="119">
        <f t="shared" si="1"/>
        <v>2</v>
      </c>
      <c r="AL12" s="129">
        <f t="shared" si="2"/>
        <v>30138.249515086281</v>
      </c>
      <c r="AM12" s="128">
        <f t="shared" si="3"/>
        <v>421935.49321120791</v>
      </c>
      <c r="AN12" s="50"/>
      <c r="AO12" s="51"/>
      <c r="AP12" s="21"/>
      <c r="AQ12" s="52"/>
    </row>
    <row r="13" spans="1:44" hidden="1" x14ac:dyDescent="0.25">
      <c r="A13" s="53" t="str" cm="1">
        <f t="array" aca="1" ref="A13" ca="1">IFERROR(IF(AM13&gt;0,IF(_xlfn.XLOOKUP(F13,INDIRECT(B13),INDIRECT(B13),"NO")="NO","",_xlfn.XLOOKUP($C13,LUT!$B$3:$B$200,LUT!$D$3:$D$200,"")&amp;""),""),"")</f>
        <v>PFO</v>
      </c>
      <c r="B13" s="54" t="s">
        <v>60</v>
      </c>
      <c r="C13" s="56" t="s">
        <v>30</v>
      </c>
      <c r="D13" s="176" t="s">
        <v>75</v>
      </c>
      <c r="E13" s="88" t="s">
        <v>63</v>
      </c>
      <c r="F13" s="55" t="s">
        <v>73</v>
      </c>
      <c r="G13" s="101" t="s">
        <v>65</v>
      </c>
      <c r="H13" s="117"/>
      <c r="I13" s="117"/>
      <c r="J13" s="117"/>
      <c r="K13" s="117"/>
      <c r="L13" s="117">
        <v>3</v>
      </c>
      <c r="M13" s="117">
        <v>3</v>
      </c>
      <c r="N13" s="117">
        <v>3</v>
      </c>
      <c r="O13" s="117">
        <v>3</v>
      </c>
      <c r="P13" s="117">
        <v>3</v>
      </c>
      <c r="Q13" s="117">
        <v>3</v>
      </c>
      <c r="R13" s="117">
        <v>0.5</v>
      </c>
      <c r="S13" s="117">
        <v>0.5</v>
      </c>
      <c r="T13" s="117"/>
      <c r="U13" s="117"/>
      <c r="V13" s="117"/>
      <c r="W13" s="117"/>
      <c r="X13" s="117"/>
      <c r="Y13" s="117"/>
      <c r="Z13" s="117"/>
      <c r="AA13" s="117"/>
      <c r="AB13" s="117"/>
      <c r="AC13" s="117"/>
      <c r="AD13" s="117"/>
      <c r="AE13" s="117"/>
      <c r="AF13" s="117"/>
      <c r="AG13" s="117"/>
      <c r="AH13" s="117"/>
      <c r="AI13" s="117"/>
      <c r="AJ13" s="118">
        <f t="shared" si="0"/>
        <v>19</v>
      </c>
      <c r="AK13" s="119">
        <f t="shared" si="1"/>
        <v>3</v>
      </c>
      <c r="AL13" s="129">
        <f t="shared" si="2"/>
        <v>30138.249515086281</v>
      </c>
      <c r="AM13" s="128">
        <f t="shared" si="3"/>
        <v>572626.74078663939</v>
      </c>
      <c r="AN13" s="50"/>
      <c r="AO13" s="51"/>
      <c r="AP13" s="21"/>
      <c r="AQ13" s="52"/>
    </row>
    <row r="14" spans="1:44" hidden="1" x14ac:dyDescent="0.25">
      <c r="A14" s="53" t="str" cm="1">
        <f t="array" aca="1" ref="A14" ca="1">IFERROR(IF(AM14&gt;0,IF(_xlfn.XLOOKUP(F14,INDIRECT(B14),INDIRECT(B14),"NO")="NO","",_xlfn.XLOOKUP($C14,LUT!$B$3:$B$200,LUT!$D$3:$D$200,"")&amp;""),""),"")</f>
        <v>PFO</v>
      </c>
      <c r="B14" s="54" t="s">
        <v>60</v>
      </c>
      <c r="C14" s="56" t="s">
        <v>76</v>
      </c>
      <c r="D14" s="176" t="s">
        <v>77</v>
      </c>
      <c r="E14" s="88" t="s">
        <v>63</v>
      </c>
      <c r="F14" s="55" t="s">
        <v>78</v>
      </c>
      <c r="G14" s="101" t="s">
        <v>65</v>
      </c>
      <c r="H14" s="117"/>
      <c r="I14" s="117"/>
      <c r="J14" s="117"/>
      <c r="K14" s="117"/>
      <c r="L14" s="117">
        <v>1</v>
      </c>
      <c r="M14" s="117">
        <v>1</v>
      </c>
      <c r="N14" s="117">
        <v>1</v>
      </c>
      <c r="O14" s="117">
        <v>1</v>
      </c>
      <c r="P14" s="117">
        <v>1</v>
      </c>
      <c r="Q14" s="117">
        <v>1</v>
      </c>
      <c r="R14" s="117">
        <v>1</v>
      </c>
      <c r="S14" s="117">
        <v>1</v>
      </c>
      <c r="T14" s="117"/>
      <c r="U14" s="117"/>
      <c r="V14" s="117"/>
      <c r="W14" s="117"/>
      <c r="X14" s="117"/>
      <c r="Y14" s="117"/>
      <c r="Z14" s="117"/>
      <c r="AA14" s="117"/>
      <c r="AB14" s="117"/>
      <c r="AC14" s="117"/>
      <c r="AD14" s="117"/>
      <c r="AE14" s="117"/>
      <c r="AF14" s="117"/>
      <c r="AG14" s="117"/>
      <c r="AH14" s="117"/>
      <c r="AI14" s="117"/>
      <c r="AJ14" s="118">
        <f t="shared" si="0"/>
        <v>8</v>
      </c>
      <c r="AK14" s="119">
        <f t="shared" si="1"/>
        <v>1</v>
      </c>
      <c r="AL14" s="129">
        <f t="shared" si="2"/>
        <v>30138.249515086281</v>
      </c>
      <c r="AM14" s="128">
        <f t="shared" si="3"/>
        <v>241105.99612069025</v>
      </c>
      <c r="AN14" s="50"/>
      <c r="AO14" s="51" t="str">
        <f ca="1">IF($AM14&gt;0,IF(AND($G14&lt;&gt;"",$F14&lt;&gt;"",$A14&lt;&gt;"",$B14&lt;&gt;"",$C14&lt;&gt;""),"","Check"),"")</f>
        <v/>
      </c>
      <c r="AP14" s="21"/>
      <c r="AQ14" s="52"/>
    </row>
    <row r="15" spans="1:44" ht="14.45" hidden="1" x14ac:dyDescent="0.25">
      <c r="A15" s="53" t="s">
        <v>258</v>
      </c>
      <c r="B15" s="54" t="s">
        <v>60</v>
      </c>
      <c r="C15" s="56" t="s">
        <v>79</v>
      </c>
      <c r="D15" s="196" t="s">
        <v>80</v>
      </c>
      <c r="E15" s="88" t="s">
        <v>86</v>
      </c>
      <c r="F15" s="55" t="s">
        <v>82</v>
      </c>
      <c r="G15" s="101" t="s">
        <v>325</v>
      </c>
      <c r="H15" s="117"/>
      <c r="I15" s="117"/>
      <c r="J15" s="117">
        <v>2</v>
      </c>
      <c r="K15" s="117">
        <v>2</v>
      </c>
      <c r="L15" s="117">
        <v>2</v>
      </c>
      <c r="M15" s="117">
        <v>2</v>
      </c>
      <c r="N15" s="117">
        <v>2</v>
      </c>
      <c r="O15" s="117">
        <v>2</v>
      </c>
      <c r="P15" s="117">
        <v>2</v>
      </c>
      <c r="Q15" s="117">
        <v>2</v>
      </c>
      <c r="R15" s="117">
        <v>2</v>
      </c>
      <c r="S15" s="117">
        <v>2</v>
      </c>
      <c r="T15" s="117">
        <v>2</v>
      </c>
      <c r="U15" s="117">
        <v>2</v>
      </c>
      <c r="V15" s="117">
        <v>2</v>
      </c>
      <c r="W15" s="117"/>
      <c r="X15" s="117"/>
      <c r="Y15" s="117"/>
      <c r="Z15" s="117"/>
      <c r="AA15" s="117"/>
      <c r="AB15" s="117"/>
      <c r="AC15" s="117"/>
      <c r="AD15" s="117"/>
      <c r="AE15" s="117"/>
      <c r="AF15" s="117"/>
      <c r="AG15" s="117"/>
      <c r="AH15" s="117"/>
      <c r="AI15" s="117"/>
      <c r="AJ15" s="118"/>
      <c r="AK15" s="119"/>
      <c r="AL15" s="129"/>
      <c r="AM15" s="128"/>
      <c r="AN15" s="50"/>
      <c r="AO15" s="51"/>
      <c r="AP15" s="21"/>
      <c r="AQ15" s="52"/>
    </row>
    <row r="16" spans="1:44" hidden="1" x14ac:dyDescent="0.25">
      <c r="A16" s="53" t="str" cm="1">
        <f t="array" aca="1" ref="A16" ca="1">IFERROR(IF(AM16&gt;0,IF(_xlfn.XLOOKUP(F16,INDIRECT(B16),INDIRECT(B16),"NO")="NO","",_xlfn.XLOOKUP($C16,LUT!$B$3:$B$200,LUT!$D$3:$D$200,"")&amp;""),""),"")</f>
        <v>PFO</v>
      </c>
      <c r="B16" s="54" t="s">
        <v>60</v>
      </c>
      <c r="C16" s="56" t="s">
        <v>79</v>
      </c>
      <c r="D16" s="88" t="s">
        <v>80</v>
      </c>
      <c r="E16" s="88" t="s">
        <v>81</v>
      </c>
      <c r="F16" s="55" t="s">
        <v>82</v>
      </c>
      <c r="G16" s="101" t="s">
        <v>65</v>
      </c>
      <c r="H16" s="117"/>
      <c r="I16" s="117"/>
      <c r="J16" s="117">
        <v>1</v>
      </c>
      <c r="K16" s="117">
        <v>1</v>
      </c>
      <c r="L16" s="117">
        <v>1</v>
      </c>
      <c r="M16" s="117">
        <v>1</v>
      </c>
      <c r="N16" s="117">
        <v>1</v>
      </c>
      <c r="O16" s="117">
        <v>1</v>
      </c>
      <c r="P16" s="117">
        <v>1</v>
      </c>
      <c r="Q16" s="117">
        <v>1</v>
      </c>
      <c r="R16" s="117">
        <v>1</v>
      </c>
      <c r="S16" s="117">
        <v>1</v>
      </c>
      <c r="T16" s="117">
        <v>1</v>
      </c>
      <c r="U16" s="117">
        <v>1</v>
      </c>
      <c r="V16" s="117">
        <v>1</v>
      </c>
      <c r="W16" s="117"/>
      <c r="X16" s="117"/>
      <c r="Y16" s="117"/>
      <c r="Z16" s="117"/>
      <c r="AA16" s="117"/>
      <c r="AB16" s="117"/>
      <c r="AC16" s="117"/>
      <c r="AD16" s="117"/>
      <c r="AE16" s="117"/>
      <c r="AF16" s="117"/>
      <c r="AG16" s="117"/>
      <c r="AH16" s="117"/>
      <c r="AI16" s="117"/>
      <c r="AJ16" s="118">
        <f t="shared" si="0"/>
        <v>13</v>
      </c>
      <c r="AK16" s="119">
        <f t="shared" si="1"/>
        <v>1</v>
      </c>
      <c r="AL16" s="129">
        <f t="shared" si="2"/>
        <v>27275.208822115485</v>
      </c>
      <c r="AM16" s="128">
        <f t="shared" si="3"/>
        <v>354577.71468750131</v>
      </c>
      <c r="AN16" s="50"/>
      <c r="AO16" s="51"/>
      <c r="AP16" s="21"/>
      <c r="AQ16" s="52"/>
    </row>
    <row r="17" spans="1:43" hidden="1" x14ac:dyDescent="0.25">
      <c r="A17" s="53" t="str" cm="1">
        <f t="array" aca="1" ref="A17" ca="1">IFERROR(IF(AM17&gt;0,IF(_xlfn.XLOOKUP(F17,INDIRECT(B17),INDIRECT(B17),"NO")="NO","",_xlfn.XLOOKUP($C17,LUT!$B$3:$B$200,LUT!$D$3:$D$200,"")&amp;""),""),"")</f>
        <v>Security</v>
      </c>
      <c r="B17" s="54" t="s">
        <v>83</v>
      </c>
      <c r="C17" s="56" t="s">
        <v>84</v>
      </c>
      <c r="D17" s="88" t="s">
        <v>85</v>
      </c>
      <c r="E17" s="88" t="s">
        <v>86</v>
      </c>
      <c r="F17" s="55" t="s">
        <v>87</v>
      </c>
      <c r="G17" s="101" t="s">
        <v>88</v>
      </c>
      <c r="H17" s="117"/>
      <c r="I17" s="117"/>
      <c r="J17" s="117"/>
      <c r="K17" s="117">
        <v>0.1</v>
      </c>
      <c r="L17" s="117">
        <v>0.1</v>
      </c>
      <c r="M17" s="117">
        <v>0.2</v>
      </c>
      <c r="N17" s="117">
        <v>0.2</v>
      </c>
      <c r="O17" s="117">
        <v>0.2</v>
      </c>
      <c r="P17" s="117">
        <v>0.2</v>
      </c>
      <c r="Q17" s="117">
        <v>0.2</v>
      </c>
      <c r="R17" s="117">
        <v>0.2</v>
      </c>
      <c r="S17" s="117">
        <v>0.1</v>
      </c>
      <c r="T17" s="117">
        <v>0.1</v>
      </c>
      <c r="U17" s="117">
        <v>0.1</v>
      </c>
      <c r="V17" s="117">
        <v>0.1</v>
      </c>
      <c r="W17" s="117"/>
      <c r="X17" s="117"/>
      <c r="Y17" s="117"/>
      <c r="Z17" s="117"/>
      <c r="AA17" s="117"/>
      <c r="AB17" s="117"/>
      <c r="AC17" s="117"/>
      <c r="AD17" s="117"/>
      <c r="AE17" s="117"/>
      <c r="AF17" s="117"/>
      <c r="AG17" s="117"/>
      <c r="AH17" s="117"/>
      <c r="AI17" s="117"/>
      <c r="AJ17" s="118">
        <f t="shared" si="0"/>
        <v>1.8000000000000003</v>
      </c>
      <c r="AK17" s="119">
        <f t="shared" si="1"/>
        <v>0.2</v>
      </c>
      <c r="AL17" s="129">
        <f t="shared" si="2"/>
        <v>57001.201725000043</v>
      </c>
      <c r="AM17" s="128">
        <f t="shared" si="3"/>
        <v>102602.16310500009</v>
      </c>
      <c r="AN17" s="50"/>
      <c r="AO17" s="51" t="str">
        <f ca="1">IF($AM17&gt;0,IF(AND($G17&lt;&gt;"",$F17&lt;&gt;"",$A17&lt;&gt;"",$B17&lt;&gt;"",$C17&lt;&gt;""),"","Check"),"")</f>
        <v/>
      </c>
      <c r="AP17" s="21"/>
      <c r="AQ17" s="52"/>
    </row>
    <row r="18" spans="1:43" hidden="1" x14ac:dyDescent="0.25">
      <c r="A18" s="53" t="str" cm="1">
        <f t="array" aca="1" ref="A18" ca="1">IFERROR(IF(AM18&gt;0,IF(_xlfn.XLOOKUP(F18,INDIRECT(B18),INDIRECT(B18),"NO")="NO","",_xlfn.XLOOKUP($C18,LUT!$B$3:$B$200,LUT!$D$3:$D$200,"")&amp;""),""),"")</f>
        <v>Security</v>
      </c>
      <c r="B18" s="54" t="s">
        <v>83</v>
      </c>
      <c r="C18" s="56" t="s">
        <v>84</v>
      </c>
      <c r="D18" s="88" t="s">
        <v>89</v>
      </c>
      <c r="E18" s="88" t="s">
        <v>86</v>
      </c>
      <c r="F18" s="55" t="s">
        <v>87</v>
      </c>
      <c r="G18" s="101" t="s">
        <v>88</v>
      </c>
      <c r="H18" s="117"/>
      <c r="I18" s="117"/>
      <c r="J18" s="117"/>
      <c r="K18" s="117"/>
      <c r="L18" s="117">
        <v>0.1</v>
      </c>
      <c r="M18" s="117">
        <v>0.2</v>
      </c>
      <c r="N18" s="117">
        <v>0.2</v>
      </c>
      <c r="O18" s="117">
        <v>0.2</v>
      </c>
      <c r="P18" s="117">
        <v>0.2</v>
      </c>
      <c r="Q18" s="117">
        <v>0.2</v>
      </c>
      <c r="R18" s="117">
        <v>0.2</v>
      </c>
      <c r="S18" s="117">
        <v>0.1</v>
      </c>
      <c r="T18" s="117">
        <v>0.1</v>
      </c>
      <c r="U18" s="117">
        <v>0.1</v>
      </c>
      <c r="V18" s="117">
        <v>0.1</v>
      </c>
      <c r="W18" s="117"/>
      <c r="X18" s="117"/>
      <c r="Y18" s="117"/>
      <c r="Z18" s="117"/>
      <c r="AA18" s="117"/>
      <c r="AB18" s="117"/>
      <c r="AC18" s="117"/>
      <c r="AD18" s="117"/>
      <c r="AE18" s="117"/>
      <c r="AF18" s="117"/>
      <c r="AG18" s="117"/>
      <c r="AH18" s="117"/>
      <c r="AI18" s="117"/>
      <c r="AJ18" s="118">
        <f t="shared" si="0"/>
        <v>1.7000000000000002</v>
      </c>
      <c r="AK18" s="119">
        <f t="shared" si="1"/>
        <v>0.2</v>
      </c>
      <c r="AL18" s="129">
        <f t="shared" si="2"/>
        <v>57001.201725000043</v>
      </c>
      <c r="AM18" s="128">
        <f t="shared" si="3"/>
        <v>96902.042932500088</v>
      </c>
      <c r="AN18" s="50"/>
      <c r="AO18" s="51" t="str">
        <f ca="1">IF($AM18&gt;0,IF(AND($G18&lt;&gt;"",$F18&lt;&gt;"",$A18&lt;&gt;"",$B18&lt;&gt;"",$C18&lt;&gt;""),"","Check"),"")</f>
        <v/>
      </c>
      <c r="AP18" s="21"/>
      <c r="AQ18" s="52"/>
    </row>
    <row r="19" spans="1:43" hidden="1" x14ac:dyDescent="0.25">
      <c r="A19" s="53" t="str" cm="1">
        <f t="array" aca="1" ref="A19" ca="1">IFERROR(IF(AM19&gt;0,IF(_xlfn.XLOOKUP(F19,INDIRECT(B19),INDIRECT(B19),"NO")="NO","",_xlfn.XLOOKUP($C19,LUT!$B$3:$B$200,LUT!$D$3:$D$200,"")&amp;""),""),"")</f>
        <v>SW PM</v>
      </c>
      <c r="B19" s="54" t="s">
        <v>90</v>
      </c>
      <c r="C19" s="56" t="s">
        <v>91</v>
      </c>
      <c r="D19" s="88" t="s">
        <v>92</v>
      </c>
      <c r="E19" s="88" t="s">
        <v>63</v>
      </c>
      <c r="F19" s="55" t="s">
        <v>93</v>
      </c>
      <c r="G19" s="101" t="s">
        <v>88</v>
      </c>
      <c r="H19" s="117"/>
      <c r="I19" s="117">
        <v>0.1</v>
      </c>
      <c r="J19" s="117">
        <v>0.2</v>
      </c>
      <c r="K19" s="117">
        <v>0.3</v>
      </c>
      <c r="L19" s="117">
        <v>0.5</v>
      </c>
      <c r="M19" s="117">
        <v>0.5</v>
      </c>
      <c r="N19" s="117">
        <v>0.5</v>
      </c>
      <c r="O19" s="117">
        <v>0.5</v>
      </c>
      <c r="P19" s="117">
        <v>0.5</v>
      </c>
      <c r="Q19" s="117">
        <v>0.5</v>
      </c>
      <c r="R19" s="117">
        <v>0.5</v>
      </c>
      <c r="S19" s="117">
        <v>0.5</v>
      </c>
      <c r="T19" s="117">
        <v>0.5</v>
      </c>
      <c r="U19" s="117">
        <v>0.5</v>
      </c>
      <c r="V19" s="117">
        <v>0.3</v>
      </c>
      <c r="W19" s="117">
        <v>0.2</v>
      </c>
      <c r="X19" s="117"/>
      <c r="Y19" s="117"/>
      <c r="Z19" s="117"/>
      <c r="AA19" s="117"/>
      <c r="AB19" s="117"/>
      <c r="AC19" s="117"/>
      <c r="AD19" s="117">
        <v>0</v>
      </c>
      <c r="AE19" s="117">
        <v>0</v>
      </c>
      <c r="AF19" s="117"/>
      <c r="AG19" s="117"/>
      <c r="AH19" s="117"/>
      <c r="AI19" s="117"/>
      <c r="AJ19" s="118">
        <f t="shared" si="0"/>
        <v>6.1</v>
      </c>
      <c r="AK19" s="119">
        <f t="shared" si="1"/>
        <v>0.5</v>
      </c>
      <c r="AL19" s="129">
        <f t="shared" si="2"/>
        <v>30138.249515086281</v>
      </c>
      <c r="AM19" s="128">
        <f t="shared" si="3"/>
        <v>183843.3220420263</v>
      </c>
      <c r="AN19" s="50"/>
      <c r="AO19" s="51" t="str">
        <f ca="1">IF($AM19&gt;0,IF(AND($G19&lt;&gt;"",$F19&lt;&gt;"",$A19&lt;&gt;"",$B19&lt;&gt;"",$C19&lt;&gt;""),"","Check"),"")</f>
        <v/>
      </c>
      <c r="AP19" s="21"/>
      <c r="AQ19" s="52"/>
    </row>
    <row r="20" spans="1:43" hidden="1" x14ac:dyDescent="0.25">
      <c r="A20" s="53" t="str" cm="1">
        <f t="array" aca="1" ref="A20" ca="1">IFERROR(IF(AM20&gt;0,IF(_xlfn.XLOOKUP(F20,INDIRECT(B20),INDIRECT(B20),"NO")="NO","",_xlfn.XLOOKUP($C20,LUT!$B$3:$B$200,LUT!$D$3:$D$200,"")&amp;""),""),"")</f>
        <v>3DGFX</v>
      </c>
      <c r="B20" s="54" t="s">
        <v>94</v>
      </c>
      <c r="C20" s="56" t="s">
        <v>95</v>
      </c>
      <c r="D20" s="88" t="s">
        <v>96</v>
      </c>
      <c r="E20" s="88" t="s">
        <v>86</v>
      </c>
      <c r="F20" s="55" t="s">
        <v>97</v>
      </c>
      <c r="G20" s="101" t="s">
        <v>88</v>
      </c>
      <c r="H20" s="117"/>
      <c r="I20" s="117"/>
      <c r="J20" s="117"/>
      <c r="K20" s="117">
        <v>1</v>
      </c>
      <c r="L20" s="117">
        <v>1</v>
      </c>
      <c r="M20" s="117">
        <v>1</v>
      </c>
      <c r="N20" s="117">
        <v>1</v>
      </c>
      <c r="O20" s="117">
        <v>1</v>
      </c>
      <c r="P20" s="117">
        <v>1</v>
      </c>
      <c r="Q20" s="117">
        <v>1</v>
      </c>
      <c r="R20" s="117">
        <v>1</v>
      </c>
      <c r="S20" s="117">
        <v>1</v>
      </c>
      <c r="T20" s="117">
        <v>1</v>
      </c>
      <c r="U20" s="117">
        <v>1</v>
      </c>
      <c r="V20" s="117"/>
      <c r="W20" s="117"/>
      <c r="X20" s="117"/>
      <c r="Y20" s="117"/>
      <c r="Z20" s="117"/>
      <c r="AA20" s="117"/>
      <c r="AB20" s="117"/>
      <c r="AC20" s="117"/>
      <c r="AD20" s="117"/>
      <c r="AE20" s="117"/>
      <c r="AF20" s="117"/>
      <c r="AG20" s="117"/>
      <c r="AH20" s="117"/>
      <c r="AI20" s="117"/>
      <c r="AJ20" s="118">
        <f t="shared" si="0"/>
        <v>11</v>
      </c>
      <c r="AK20" s="119">
        <f t="shared" si="1"/>
        <v>1</v>
      </c>
      <c r="AL20" s="129">
        <f t="shared" si="2"/>
        <v>57001.201725000043</v>
      </c>
      <c r="AM20" s="128">
        <f t="shared" si="3"/>
        <v>627013.21897500043</v>
      </c>
      <c r="AN20" s="50"/>
      <c r="AO20" s="51"/>
      <c r="AP20" s="21"/>
      <c r="AQ20" s="52"/>
    </row>
    <row r="21" spans="1:43" hidden="1" x14ac:dyDescent="0.25">
      <c r="A21" s="53" t="str" cm="1">
        <f t="array" aca="1" ref="A21" ca="1">IFERROR(IF(AM21&gt;0,IF(_xlfn.XLOOKUP(F21,INDIRECT(B21),INDIRECT(B21),"NO")="NO","",_xlfn.XLOOKUP($C21,LUT!$B$3:$B$200,LUT!$D$3:$D$200,"")&amp;""),""),"")</f>
        <v>Disp&amp;MM</v>
      </c>
      <c r="B21" s="54" t="s">
        <v>98</v>
      </c>
      <c r="C21" s="56" t="s">
        <v>11</v>
      </c>
      <c r="D21" s="88" t="s">
        <v>99</v>
      </c>
      <c r="E21" s="88" t="s">
        <v>63</v>
      </c>
      <c r="F21" s="55" t="s">
        <v>100</v>
      </c>
      <c r="G21" s="101" t="s">
        <v>65</v>
      </c>
      <c r="H21" s="117"/>
      <c r="I21" s="117"/>
      <c r="J21" s="117"/>
      <c r="K21" s="117">
        <v>0</v>
      </c>
      <c r="L21" s="117">
        <v>0</v>
      </c>
      <c r="M21" s="117">
        <v>1</v>
      </c>
      <c r="N21" s="117">
        <v>1</v>
      </c>
      <c r="O21" s="117">
        <v>2</v>
      </c>
      <c r="P21" s="117">
        <v>2</v>
      </c>
      <c r="Q21" s="117">
        <v>2</v>
      </c>
      <c r="R21" s="117">
        <v>3</v>
      </c>
      <c r="S21" s="117">
        <v>3</v>
      </c>
      <c r="T21" s="117">
        <v>3</v>
      </c>
      <c r="U21" s="117">
        <v>2</v>
      </c>
      <c r="V21" s="117">
        <v>2</v>
      </c>
      <c r="W21" s="117"/>
      <c r="X21" s="117"/>
      <c r="Y21" s="117"/>
      <c r="Z21" s="117"/>
      <c r="AA21" s="117"/>
      <c r="AB21" s="117"/>
      <c r="AC21" s="117"/>
      <c r="AD21" s="117"/>
      <c r="AE21" s="117"/>
      <c r="AF21" s="117"/>
      <c r="AG21" s="117"/>
      <c r="AH21" s="117"/>
      <c r="AI21" s="117"/>
      <c r="AJ21" s="118">
        <f t="shared" si="0"/>
        <v>21</v>
      </c>
      <c r="AK21" s="119">
        <f t="shared" si="1"/>
        <v>3</v>
      </c>
      <c r="AL21" s="129">
        <f t="shared" si="2"/>
        <v>30138.249515086281</v>
      </c>
      <c r="AM21" s="128">
        <f t="shared" si="3"/>
        <v>632903.23981681187</v>
      </c>
      <c r="AN21" s="50"/>
      <c r="AO21" s="51"/>
      <c r="AP21" s="21"/>
      <c r="AQ21" s="52"/>
    </row>
    <row r="22" spans="1:43" hidden="1" x14ac:dyDescent="0.25">
      <c r="A22" s="53" t="str" cm="1">
        <f t="array" aca="1" ref="A22" ca="1">IFERROR(IF(AM22&gt;0,IF(_xlfn.XLOOKUP(F22,INDIRECT(B22),INDIRECT(B22),"NO")="NO","",_xlfn.XLOOKUP($C22,LUT!$B$3:$B$200,LUT!$D$3:$D$200,"")&amp;""),""),"")</f>
        <v>Disp&amp;MM</v>
      </c>
      <c r="B22" s="54" t="s">
        <v>98</v>
      </c>
      <c r="C22" s="56" t="s">
        <v>11</v>
      </c>
      <c r="D22" s="88" t="s">
        <v>328</v>
      </c>
      <c r="E22" s="88" t="s">
        <v>63</v>
      </c>
      <c r="F22" s="55" t="s">
        <v>327</v>
      </c>
      <c r="G22" s="101" t="s">
        <v>65</v>
      </c>
      <c r="H22" s="117"/>
      <c r="I22" s="117"/>
      <c r="J22" s="117"/>
      <c r="K22" s="117"/>
      <c r="L22" s="117">
        <v>1</v>
      </c>
      <c r="M22" s="117">
        <v>1</v>
      </c>
      <c r="N22" s="117">
        <v>1</v>
      </c>
      <c r="O22" s="117">
        <v>1</v>
      </c>
      <c r="P22" s="117">
        <v>2</v>
      </c>
      <c r="Q22" s="117">
        <v>2</v>
      </c>
      <c r="R22" s="117">
        <v>2</v>
      </c>
      <c r="S22" s="117">
        <v>1</v>
      </c>
      <c r="T22" s="117">
        <v>1</v>
      </c>
      <c r="U22" s="117">
        <v>1</v>
      </c>
      <c r="V22" s="117">
        <v>1</v>
      </c>
      <c r="W22" s="117"/>
      <c r="X22" s="117"/>
      <c r="Y22" s="117"/>
      <c r="Z22" s="117"/>
      <c r="AA22" s="117"/>
      <c r="AB22" s="117"/>
      <c r="AC22" s="117"/>
      <c r="AD22" s="117"/>
      <c r="AE22" s="117"/>
      <c r="AF22" s="117"/>
      <c r="AG22" s="117"/>
      <c r="AH22" s="117"/>
      <c r="AI22" s="117"/>
      <c r="AJ22" s="118">
        <f>SUM(H22:AI22)</f>
        <v>14</v>
      </c>
      <c r="AK22" s="119">
        <f>MAX(H22:AI22)</f>
        <v>2</v>
      </c>
      <c r="AL22" s="129">
        <f>_xlfn.XLOOKUP(E22,Location,labour,0)</f>
        <v>30138.249515086281</v>
      </c>
      <c r="AM22" s="128">
        <f>AL22*AJ22</f>
        <v>421935.49321120791</v>
      </c>
      <c r="AN22" s="50"/>
      <c r="AO22" s="51"/>
      <c r="AP22" s="21"/>
      <c r="AQ22" s="52"/>
    </row>
    <row r="23" spans="1:43" ht="14.45" hidden="1" x14ac:dyDescent="0.25">
      <c r="A23" s="53" t="str" cm="1">
        <f t="array" aca="1" ref="A23" ca="1">IFERROR(IF(AM23&gt;0,IF(_xlfn.XLOOKUP(F23,INDIRECT(B23),INDIRECT(B23),"NO")="NO","",_xlfn.XLOOKUP($C23,LUT!$B$3:$B$200,LUT!$D$3:$D$200,"")&amp;""),""),"")</f>
        <v>Disp&amp;MM</v>
      </c>
      <c r="B23" s="54" t="s">
        <v>98</v>
      </c>
      <c r="C23" s="56" t="s">
        <v>256</v>
      </c>
      <c r="D23" s="88" t="s">
        <v>326</v>
      </c>
      <c r="E23" s="88" t="s">
        <v>63</v>
      </c>
      <c r="F23" s="55" t="s">
        <v>327</v>
      </c>
      <c r="G23" s="101" t="s">
        <v>65</v>
      </c>
      <c r="H23" s="117"/>
      <c r="I23" s="117"/>
      <c r="J23" s="117"/>
      <c r="K23" s="117"/>
      <c r="L23" s="117"/>
      <c r="M23" s="117">
        <v>3</v>
      </c>
      <c r="N23" s="117">
        <v>3</v>
      </c>
      <c r="O23" s="117">
        <v>3</v>
      </c>
      <c r="P23" s="117">
        <v>3</v>
      </c>
      <c r="Q23" s="117">
        <v>3</v>
      </c>
      <c r="R23" s="117">
        <v>3</v>
      </c>
      <c r="S23" s="117">
        <v>3</v>
      </c>
      <c r="T23" s="117"/>
      <c r="U23" s="117"/>
      <c r="V23" s="117"/>
      <c r="W23" s="117"/>
      <c r="X23" s="117"/>
      <c r="Y23" s="117"/>
      <c r="Z23" s="117"/>
      <c r="AA23" s="117"/>
      <c r="AB23" s="117"/>
      <c r="AC23" s="117"/>
      <c r="AD23" s="117"/>
      <c r="AE23" s="117"/>
      <c r="AF23" s="117"/>
      <c r="AG23" s="117"/>
      <c r="AH23" s="117"/>
      <c r="AI23" s="117"/>
      <c r="AJ23" s="118">
        <f>SUM(H23:AI23)</f>
        <v>21</v>
      </c>
      <c r="AK23" s="119">
        <f>MAX(H23:AI23)</f>
        <v>3</v>
      </c>
      <c r="AL23" s="129">
        <f>_xlfn.XLOOKUP(E23,Location,labour,0)</f>
        <v>30138.249515086281</v>
      </c>
      <c r="AM23" s="128">
        <f>AL23*AJ23</f>
        <v>632903.23981681187</v>
      </c>
      <c r="AN23" s="50"/>
      <c r="AO23" s="51"/>
      <c r="AP23" s="21"/>
      <c r="AQ23" s="52"/>
    </row>
    <row r="24" spans="1:43" hidden="1" x14ac:dyDescent="0.25">
      <c r="A24" s="53" t="str" cm="1">
        <f t="array" aca="1" ref="A24" ca="1">IFERROR(IF(AM24&gt;0,IF(_xlfn.XLOOKUP(F24,INDIRECT(B24),INDIRECT(B24),"NO")="NO","",_xlfn.XLOOKUP($C24,LUT!$B$3:$B$200,LUT!$D$3:$D$200,"")&amp;""),""),"")</f>
        <v>Disp&amp;MM</v>
      </c>
      <c r="B24" s="54" t="s">
        <v>98</v>
      </c>
      <c r="C24" s="56" t="s">
        <v>101</v>
      </c>
      <c r="D24" s="88" t="s">
        <v>102</v>
      </c>
      <c r="E24" s="88" t="s">
        <v>103</v>
      </c>
      <c r="F24" s="55" t="s">
        <v>104</v>
      </c>
      <c r="G24" s="101" t="s">
        <v>65</v>
      </c>
      <c r="H24" s="117"/>
      <c r="I24" s="117"/>
      <c r="J24" s="117"/>
      <c r="K24" s="117"/>
      <c r="L24" s="117">
        <v>2</v>
      </c>
      <c r="M24" s="117">
        <v>2</v>
      </c>
      <c r="N24" s="117">
        <v>2</v>
      </c>
      <c r="O24" s="117">
        <v>3</v>
      </c>
      <c r="P24" s="117">
        <v>4</v>
      </c>
      <c r="Q24" s="117">
        <v>4</v>
      </c>
      <c r="R24" s="117">
        <v>3</v>
      </c>
      <c r="S24" s="117">
        <v>2</v>
      </c>
      <c r="T24" s="117">
        <v>1</v>
      </c>
      <c r="U24" s="117">
        <v>1</v>
      </c>
      <c r="V24" s="117">
        <v>0</v>
      </c>
      <c r="W24" s="117">
        <v>0</v>
      </c>
      <c r="X24" s="117"/>
      <c r="Y24" s="117"/>
      <c r="Z24" s="117"/>
      <c r="AA24" s="117"/>
      <c r="AB24" s="117"/>
      <c r="AC24" s="117"/>
      <c r="AD24" s="117"/>
      <c r="AE24" s="117"/>
      <c r="AF24" s="117"/>
      <c r="AG24" s="117"/>
      <c r="AH24" s="117"/>
      <c r="AI24" s="117"/>
      <c r="AJ24" s="118">
        <f t="shared" si="0"/>
        <v>24</v>
      </c>
      <c r="AK24" s="119">
        <f t="shared" si="1"/>
        <v>4</v>
      </c>
      <c r="AL24" s="129">
        <f t="shared" si="2"/>
        <v>24974.506238532111</v>
      </c>
      <c r="AM24" s="128">
        <f t="shared" si="3"/>
        <v>599388.14972477069</v>
      </c>
      <c r="AN24" s="50"/>
      <c r="AO24" s="51"/>
      <c r="AP24" s="21"/>
      <c r="AQ24" s="52"/>
    </row>
    <row r="25" spans="1:43" hidden="1" x14ac:dyDescent="0.25">
      <c r="A25" s="53" t="str" cm="1">
        <f t="array" aca="1" ref="A25" ca="1">IFERROR(IF(AM25&gt;0,IF(_xlfn.XLOOKUP(F25,INDIRECT(B25),INDIRECT(B25),"NO")="NO","",_xlfn.XLOOKUP($C25,LUT!$B$3:$B$200,LUT!$D$3:$D$200,"")&amp;""),""),"")</f>
        <v>Disp&amp;MM</v>
      </c>
      <c r="B25" s="54" t="s">
        <v>98</v>
      </c>
      <c r="C25" s="56" t="s">
        <v>105</v>
      </c>
      <c r="D25" s="88" t="s">
        <v>106</v>
      </c>
      <c r="E25" s="88" t="s">
        <v>63</v>
      </c>
      <c r="F25" s="55" t="s">
        <v>107</v>
      </c>
      <c r="G25" s="101" t="s">
        <v>65</v>
      </c>
      <c r="H25" s="117"/>
      <c r="I25" s="117"/>
      <c r="J25" s="117"/>
      <c r="K25" s="117"/>
      <c r="L25" s="117"/>
      <c r="M25" s="117">
        <v>0.5</v>
      </c>
      <c r="N25" s="117">
        <v>0.5</v>
      </c>
      <c r="O25" s="117">
        <v>1</v>
      </c>
      <c r="P25" s="117">
        <v>1</v>
      </c>
      <c r="Q25" s="117">
        <v>1</v>
      </c>
      <c r="R25" s="117">
        <v>1</v>
      </c>
      <c r="S25" s="117">
        <v>1</v>
      </c>
      <c r="T25" s="117">
        <v>1</v>
      </c>
      <c r="U25" s="117">
        <v>1</v>
      </c>
      <c r="V25" s="117">
        <v>1</v>
      </c>
      <c r="W25" s="117"/>
      <c r="X25" s="117"/>
      <c r="Y25" s="117"/>
      <c r="Z25" s="117"/>
      <c r="AA25" s="117"/>
      <c r="AB25" s="117"/>
      <c r="AC25" s="117"/>
      <c r="AD25" s="117"/>
      <c r="AE25" s="117"/>
      <c r="AF25" s="117"/>
      <c r="AG25" s="117"/>
      <c r="AH25" s="117"/>
      <c r="AI25" s="117"/>
      <c r="AJ25" s="118">
        <f t="shared" si="0"/>
        <v>9</v>
      </c>
      <c r="AK25" s="119">
        <f t="shared" si="1"/>
        <v>1</v>
      </c>
      <c r="AL25" s="129">
        <f t="shared" si="2"/>
        <v>30138.249515086281</v>
      </c>
      <c r="AM25" s="128">
        <f t="shared" si="3"/>
        <v>271244.24563577655</v>
      </c>
      <c r="AN25" s="50"/>
      <c r="AO25" s="51" t="str">
        <f ca="1">IF($AM25&gt;0,IF(AND($G25&lt;&gt;"",$F25&lt;&gt;"",$A25&lt;&gt;"",$B25&lt;&gt;"",$C25&lt;&gt;""),"","Check"),"")</f>
        <v/>
      </c>
      <c r="AP25" s="21"/>
      <c r="AQ25" s="52"/>
    </row>
    <row r="26" spans="1:43" hidden="1" x14ac:dyDescent="0.25">
      <c r="A26" s="53" t="str" cm="1">
        <f t="array" aca="1" ref="A26" ca="1">IFERROR(IF(AM26&gt;0,IF(_xlfn.XLOOKUP(F26,INDIRECT(B26),INDIRECT(B26),"NO")="NO","",_xlfn.XLOOKUP($C26,LUT!$B$3:$B$200,LUT!$D$3:$D$200,"")&amp;""),""),"")</f>
        <v>Disp&amp;MM</v>
      </c>
      <c r="B26" s="54" t="s">
        <v>98</v>
      </c>
      <c r="C26" s="56" t="s">
        <v>15</v>
      </c>
      <c r="D26" s="88" t="s">
        <v>108</v>
      </c>
      <c r="E26" s="88" t="s">
        <v>63</v>
      </c>
      <c r="F26" s="55" t="s">
        <v>109</v>
      </c>
      <c r="G26" s="101" t="s">
        <v>65</v>
      </c>
      <c r="H26" s="117"/>
      <c r="I26" s="117"/>
      <c r="J26" s="117"/>
      <c r="K26" s="117">
        <v>1</v>
      </c>
      <c r="L26" s="117">
        <v>1</v>
      </c>
      <c r="M26" s="117">
        <v>1</v>
      </c>
      <c r="N26" s="117">
        <v>1</v>
      </c>
      <c r="O26" s="117">
        <v>1</v>
      </c>
      <c r="P26" s="117">
        <v>1</v>
      </c>
      <c r="Q26" s="117">
        <v>1.5</v>
      </c>
      <c r="R26" s="117">
        <v>1.5</v>
      </c>
      <c r="S26" s="117">
        <v>1.5</v>
      </c>
      <c r="T26" s="117">
        <v>1.5</v>
      </c>
      <c r="U26" s="117">
        <v>1</v>
      </c>
      <c r="V26" s="117">
        <v>1</v>
      </c>
      <c r="W26" s="117"/>
      <c r="X26" s="117"/>
      <c r="Y26" s="117"/>
      <c r="Z26" s="117"/>
      <c r="AA26" s="117"/>
      <c r="AB26" s="117"/>
      <c r="AC26" s="117"/>
      <c r="AD26" s="117"/>
      <c r="AE26" s="117"/>
      <c r="AF26" s="117"/>
      <c r="AG26" s="117"/>
      <c r="AH26" s="117"/>
      <c r="AI26" s="117"/>
      <c r="AJ26" s="118">
        <f t="shared" si="0"/>
        <v>14</v>
      </c>
      <c r="AK26" s="119">
        <f t="shared" si="1"/>
        <v>1.5</v>
      </c>
      <c r="AL26" s="129">
        <f t="shared" si="2"/>
        <v>30138.249515086281</v>
      </c>
      <c r="AM26" s="128">
        <f t="shared" si="3"/>
        <v>421935.49321120791</v>
      </c>
      <c r="AN26" s="50"/>
      <c r="AO26" s="51"/>
      <c r="AP26" s="21"/>
      <c r="AQ26" s="52"/>
    </row>
    <row r="27" spans="1:43" x14ac:dyDescent="0.25">
      <c r="A27" s="53" t="str" cm="1">
        <f t="array" aca="1" ref="A27" ca="1">IFERROR(IF(AM27&gt;0,IF(_xlfn.XLOOKUP(F27,INDIRECT(B27),INDIRECT(B27),"NO")="NO","",_xlfn.XLOOKUP($C27,LUT!$B$3:$B$200,LUT!$D$3:$D$200,"")&amp;""),""),"")</f>
        <v>PlatLinux</v>
      </c>
      <c r="B27" s="54" t="s">
        <v>60</v>
      </c>
      <c r="C27" s="56" t="s">
        <v>139</v>
      </c>
      <c r="D27" s="88" t="s">
        <v>330</v>
      </c>
      <c r="E27" s="88" t="s">
        <v>63</v>
      </c>
      <c r="F27" s="55" t="s">
        <v>141</v>
      </c>
      <c r="G27" s="101" t="s">
        <v>65</v>
      </c>
      <c r="H27" s="117"/>
      <c r="I27" s="117"/>
      <c r="J27" s="117"/>
      <c r="K27" s="117"/>
      <c r="L27" s="117"/>
      <c r="M27" s="117"/>
      <c r="N27" s="117"/>
      <c r="O27" s="117">
        <v>1</v>
      </c>
      <c r="P27" s="117">
        <v>1</v>
      </c>
      <c r="Q27" s="117">
        <v>1.5</v>
      </c>
      <c r="R27" s="117">
        <v>0.5</v>
      </c>
      <c r="S27" s="117"/>
      <c r="T27" s="117"/>
      <c r="U27" s="117"/>
      <c r="V27" s="117"/>
      <c r="W27" s="117"/>
      <c r="X27" s="117"/>
      <c r="Y27" s="117"/>
      <c r="Z27" s="117"/>
      <c r="AA27" s="117"/>
      <c r="AB27" s="117"/>
      <c r="AC27" s="117"/>
      <c r="AD27" s="117"/>
      <c r="AE27" s="117"/>
      <c r="AF27" s="117"/>
      <c r="AG27" s="117"/>
      <c r="AH27" s="117"/>
      <c r="AI27" s="117"/>
      <c r="AJ27" s="118">
        <f t="shared" si="0"/>
        <v>4</v>
      </c>
      <c r="AK27" s="119">
        <f t="shared" si="1"/>
        <v>1.5</v>
      </c>
      <c r="AL27" s="129">
        <f t="shared" si="2"/>
        <v>30138.249515086281</v>
      </c>
      <c r="AM27" s="128">
        <f t="shared" si="3"/>
        <v>120552.99806034513</v>
      </c>
      <c r="AN27" s="50"/>
      <c r="AO27" s="51" t="str">
        <f ca="1">IF($AM27&gt;0,IF(AND($G27&lt;&gt;"",$F27&lt;&gt;"",$A27&lt;&gt;"",$B27&lt;&gt;"",$C27&lt;&gt;""),"","Check"),"")</f>
        <v/>
      </c>
      <c r="AP27" s="21"/>
      <c r="AQ27" s="52"/>
    </row>
    <row r="28" spans="1:43" x14ac:dyDescent="0.25">
      <c r="A28" s="53" t="str" cm="1">
        <f t="array" aca="1" ref="A28" ca="1">IFERROR(IF(AM28&gt;0,IF(_xlfn.XLOOKUP(F28,INDIRECT(B28),INDIRECT(B28),"NO")="NO","",_xlfn.XLOOKUP($C28,LUT!$B$3:$B$200,LUT!$D$3:$D$200,"")&amp;""),""),"")</f>
        <v>PlatLinux</v>
      </c>
      <c r="B28" s="54" t="s">
        <v>60</v>
      </c>
      <c r="C28" s="56" t="s">
        <v>139</v>
      </c>
      <c r="D28" s="88" t="s">
        <v>331</v>
      </c>
      <c r="E28" s="88" t="s">
        <v>63</v>
      </c>
      <c r="F28" s="55" t="s">
        <v>141</v>
      </c>
      <c r="G28" s="101" t="s">
        <v>65</v>
      </c>
      <c r="H28" s="117"/>
      <c r="I28" s="117"/>
      <c r="J28" s="117"/>
      <c r="K28" s="117"/>
      <c r="L28" s="117"/>
      <c r="M28" s="117"/>
      <c r="N28" s="117"/>
      <c r="O28" s="117"/>
      <c r="P28" s="117">
        <v>0.5</v>
      </c>
      <c r="Q28" s="117">
        <v>1</v>
      </c>
      <c r="R28" s="117">
        <v>2</v>
      </c>
      <c r="S28" s="117">
        <v>1.5</v>
      </c>
      <c r="T28" s="117">
        <v>1.5</v>
      </c>
      <c r="U28" s="117">
        <v>0.5</v>
      </c>
      <c r="V28" s="117"/>
      <c r="W28" s="117"/>
      <c r="X28" s="117"/>
      <c r="Y28" s="117"/>
      <c r="Z28" s="117"/>
      <c r="AA28" s="117"/>
      <c r="AB28" s="117"/>
      <c r="AC28" s="117"/>
      <c r="AD28" s="117"/>
      <c r="AE28" s="117"/>
      <c r="AF28" s="117"/>
      <c r="AG28" s="117"/>
      <c r="AH28" s="117"/>
      <c r="AI28" s="117"/>
      <c r="AJ28" s="118">
        <f t="shared" si="0"/>
        <v>7</v>
      </c>
      <c r="AK28" s="119">
        <f t="shared" si="1"/>
        <v>2</v>
      </c>
      <c r="AL28" s="129">
        <f t="shared" si="2"/>
        <v>30138.249515086281</v>
      </c>
      <c r="AM28" s="128">
        <f t="shared" si="3"/>
        <v>210967.74660560396</v>
      </c>
      <c r="AN28" s="50"/>
      <c r="AO28" s="51" t="str">
        <f ca="1">IF($AM28&gt;0,IF(AND($G28&lt;&gt;"",$F28&lt;&gt;"",$A28&lt;&gt;"",$B28&lt;&gt;"",$C28&lt;&gt;""),"","Check"),"")</f>
        <v/>
      </c>
      <c r="AP28" s="21"/>
      <c r="AQ28" s="52"/>
    </row>
    <row r="29" spans="1:43" x14ac:dyDescent="0.25">
      <c r="A29" s="53" t="str" cm="1">
        <f t="array" aca="1" ref="A29" ca="1">IFERROR(IF(AM29&gt;0,IF(_xlfn.XLOOKUP(F29,INDIRECT(B29),INDIRECT(B29),"NO")="NO","",_xlfn.XLOOKUP($C29,LUT!$B$3:$B$200,LUT!$D$3:$D$200,"")&amp;""),""),"")</f>
        <v>PlatLinux</v>
      </c>
      <c r="B29" s="54" t="s">
        <v>60</v>
      </c>
      <c r="C29" s="56" t="s">
        <v>139</v>
      </c>
      <c r="D29" s="88" t="s">
        <v>332</v>
      </c>
      <c r="E29" s="88" t="s">
        <v>63</v>
      </c>
      <c r="F29" s="55" t="s">
        <v>141</v>
      </c>
      <c r="G29" s="101" t="s">
        <v>65</v>
      </c>
      <c r="H29" s="117"/>
      <c r="I29" s="117"/>
      <c r="J29" s="117"/>
      <c r="K29" s="117"/>
      <c r="L29" s="117"/>
      <c r="M29" s="117"/>
      <c r="N29" s="117"/>
      <c r="O29" s="117"/>
      <c r="P29" s="117">
        <v>0.5</v>
      </c>
      <c r="Q29" s="117">
        <v>0.5</v>
      </c>
      <c r="R29" s="117">
        <v>0.5</v>
      </c>
      <c r="S29" s="117">
        <v>0.5</v>
      </c>
      <c r="T29" s="117">
        <v>0.5</v>
      </c>
      <c r="U29" s="117">
        <v>0.5</v>
      </c>
      <c r="V29" s="117">
        <v>0.5</v>
      </c>
      <c r="W29" s="117">
        <v>0.3</v>
      </c>
      <c r="X29" s="117">
        <v>0.3</v>
      </c>
      <c r="Y29" s="117"/>
      <c r="Z29" s="117"/>
      <c r="AA29" s="117"/>
      <c r="AB29" s="117"/>
      <c r="AC29" s="117"/>
      <c r="AD29" s="117"/>
      <c r="AE29" s="117"/>
      <c r="AF29" s="117"/>
      <c r="AG29" s="117"/>
      <c r="AH29" s="117"/>
      <c r="AI29" s="117"/>
      <c r="AJ29" s="118">
        <f t="shared" si="0"/>
        <v>4.0999999999999996</v>
      </c>
      <c r="AK29" s="119">
        <f t="shared" si="1"/>
        <v>0.5</v>
      </c>
      <c r="AL29" s="129">
        <f t="shared" si="2"/>
        <v>30138.249515086281</v>
      </c>
      <c r="AM29" s="128">
        <f t="shared" si="3"/>
        <v>123566.82301185375</v>
      </c>
      <c r="AN29" s="50"/>
      <c r="AO29" s="51" t="str">
        <f ca="1">IF($AM29&gt;0,IF(AND($G29&lt;&gt;"",$F29&lt;&gt;"",$A29&lt;&gt;"",$B29&lt;&gt;"",$C29&lt;&gt;""),"","Check"),"")</f>
        <v/>
      </c>
      <c r="AP29" s="21"/>
      <c r="AQ29" s="52"/>
    </row>
    <row r="30" spans="1:43" hidden="1" x14ac:dyDescent="0.25">
      <c r="A30" s="53"/>
      <c r="B30" s="54"/>
      <c r="C30" s="56"/>
      <c r="D30" s="182"/>
      <c r="E30" s="88"/>
      <c r="F30" s="55"/>
      <c r="G30" s="101"/>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c r="AI30" s="117"/>
      <c r="AJ30" s="118">
        <f t="shared" si="0"/>
        <v>0</v>
      </c>
      <c r="AK30" s="119">
        <f t="shared" si="1"/>
        <v>0</v>
      </c>
      <c r="AL30" s="129">
        <f t="shared" si="2"/>
        <v>0</v>
      </c>
      <c r="AM30" s="128">
        <f t="shared" si="3"/>
        <v>0</v>
      </c>
      <c r="AN30" s="50"/>
      <c r="AO30" s="51"/>
      <c r="AP30" s="21"/>
      <c r="AQ30" s="52"/>
    </row>
    <row r="31" spans="1:43" hidden="1" x14ac:dyDescent="0.25">
      <c r="A31" s="53" t="str" cm="1">
        <f t="array" aca="1" ref="A31" ca="1">IFERROR(IF(AM31&gt;0,IF(_xlfn.XLOOKUP(F31,INDIRECT(B31),INDIRECT(B31),"NO")="NO","",_xlfn.XLOOKUP($C31,LUT!$B$3:$B$200,LUT!$D$3:$D$200,"")&amp;""),""),"")</f>
        <v/>
      </c>
      <c r="B31" s="54"/>
      <c r="C31" s="56"/>
      <c r="D31" s="182"/>
      <c r="E31" s="88"/>
      <c r="F31" s="55"/>
      <c r="G31" s="101"/>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c r="AI31" s="117"/>
      <c r="AJ31" s="118">
        <f t="shared" si="0"/>
        <v>0</v>
      </c>
      <c r="AK31" s="119">
        <f t="shared" si="1"/>
        <v>0</v>
      </c>
      <c r="AL31" s="129">
        <f t="shared" si="2"/>
        <v>0</v>
      </c>
      <c r="AM31" s="128">
        <f t="shared" si="3"/>
        <v>0</v>
      </c>
      <c r="AN31" s="50"/>
      <c r="AO31" s="51"/>
      <c r="AP31" s="21"/>
      <c r="AQ31" s="52"/>
    </row>
    <row r="32" spans="1:43" hidden="1" x14ac:dyDescent="0.25">
      <c r="A32" s="53" t="str" cm="1">
        <f t="array" aca="1" ref="A32" ca="1">IFERROR(IF(AM32&gt;0,IF(_xlfn.XLOOKUP(F32,INDIRECT(B32),INDIRECT(B32),"NO")="NO","",_xlfn.XLOOKUP($C32,LUT!$B$3:$B$200,LUT!$D$3:$D$200,"")&amp;""),""),"")</f>
        <v/>
      </c>
      <c r="B32" s="54"/>
      <c r="C32" s="56"/>
      <c r="D32" s="182"/>
      <c r="E32" s="88"/>
      <c r="F32" s="55"/>
      <c r="G32" s="101"/>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17"/>
      <c r="AJ32" s="118">
        <f t="shared" si="0"/>
        <v>0</v>
      </c>
      <c r="AK32" s="119">
        <f t="shared" si="1"/>
        <v>0</v>
      </c>
      <c r="AL32" s="129">
        <f t="shared" si="2"/>
        <v>0</v>
      </c>
      <c r="AM32" s="128">
        <f t="shared" si="3"/>
        <v>0</v>
      </c>
      <c r="AN32" s="50"/>
      <c r="AO32" s="51"/>
      <c r="AP32" s="21"/>
      <c r="AQ32" s="52"/>
    </row>
    <row r="33" spans="1:43" hidden="1" x14ac:dyDescent="0.25">
      <c r="A33" s="53" t="str" cm="1">
        <f t="array" aca="1" ref="A33" ca="1">IFERROR(IF(AM33&gt;0,IF(_xlfn.XLOOKUP(F33,INDIRECT(B33),INDIRECT(B33),"NO")="NO","",_xlfn.XLOOKUP($C33,LUT!$B$3:$B$200,LUT!$D$3:$D$200,"")&amp;""),""),"")</f>
        <v/>
      </c>
      <c r="B33" s="54"/>
      <c r="C33" s="56"/>
      <c r="D33" s="182"/>
      <c r="E33" s="88"/>
      <c r="F33" s="55"/>
      <c r="G33" s="101"/>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7"/>
      <c r="AI33" s="117"/>
      <c r="AJ33" s="118">
        <f t="shared" si="0"/>
        <v>0</v>
      </c>
      <c r="AK33" s="119">
        <f t="shared" si="1"/>
        <v>0</v>
      </c>
      <c r="AL33" s="129">
        <f t="shared" si="2"/>
        <v>0</v>
      </c>
      <c r="AM33" s="128">
        <f t="shared" si="3"/>
        <v>0</v>
      </c>
      <c r="AN33" s="50"/>
      <c r="AO33" s="51"/>
      <c r="AP33" s="21"/>
      <c r="AQ33" s="52"/>
    </row>
    <row r="34" spans="1:43" hidden="1" x14ac:dyDescent="0.25">
      <c r="A34" s="53" t="str" cm="1">
        <f t="array" aca="1" ref="A34" ca="1">IFERROR(IF(AM34&gt;0,IF(_xlfn.XLOOKUP(F34,INDIRECT(B34),INDIRECT(B34),"NO")="NO","",_xlfn.XLOOKUP($C34,LUT!$B$3:$B$200,LUT!$D$3:$D$200,"")&amp;""),""),"")</f>
        <v/>
      </c>
      <c r="B34" s="54"/>
      <c r="C34" s="56"/>
      <c r="D34" s="182"/>
      <c r="E34" s="88"/>
      <c r="F34" s="55"/>
      <c r="G34" s="101"/>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7"/>
      <c r="AI34" s="117"/>
      <c r="AJ34" s="118">
        <f t="shared" si="0"/>
        <v>0</v>
      </c>
      <c r="AK34" s="119">
        <f t="shared" si="1"/>
        <v>0</v>
      </c>
      <c r="AL34" s="129">
        <f t="shared" si="2"/>
        <v>0</v>
      </c>
      <c r="AM34" s="128">
        <f t="shared" si="3"/>
        <v>0</v>
      </c>
      <c r="AN34" s="50"/>
      <c r="AO34" s="51"/>
      <c r="AP34" s="21"/>
      <c r="AQ34" s="52"/>
    </row>
    <row r="35" spans="1:43" hidden="1" x14ac:dyDescent="0.25">
      <c r="A35" s="53" t="str" cm="1">
        <f t="array" aca="1" ref="A35" ca="1">IFERROR(IF(AM35&gt;0,IF(_xlfn.XLOOKUP(F35,INDIRECT(B35),INDIRECT(B35),"NO")="NO","",_xlfn.XLOOKUP($C35,LUT!$B$3:$B$200,LUT!$D$3:$D$200,"")&amp;""),""),"")</f>
        <v/>
      </c>
      <c r="B35" s="54"/>
      <c r="C35" s="56"/>
      <c r="D35" s="182"/>
      <c r="E35" s="88"/>
      <c r="F35" s="55"/>
      <c r="G35" s="101"/>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8">
        <f t="shared" si="0"/>
        <v>0</v>
      </c>
      <c r="AK35" s="119">
        <f t="shared" si="1"/>
        <v>0</v>
      </c>
      <c r="AL35" s="129">
        <f t="shared" si="2"/>
        <v>0</v>
      </c>
      <c r="AM35" s="128">
        <f t="shared" si="3"/>
        <v>0</v>
      </c>
      <c r="AN35" s="50"/>
      <c r="AO35" s="51" t="str">
        <f t="shared" ref="AO35:AO63" si="4">IF($AM35&gt;0,IF(AND($G35&lt;&gt;"",$F35&lt;&gt;"",$A35&lt;&gt;"",$B35&lt;&gt;"",$C35&lt;&gt;""),"","Check"),"")</f>
        <v/>
      </c>
      <c r="AP35" s="21"/>
      <c r="AQ35" s="52"/>
    </row>
    <row r="36" spans="1:43" hidden="1" x14ac:dyDescent="0.25">
      <c r="A36" s="53" t="str" cm="1">
        <f t="array" aca="1" ref="A36" ca="1">IFERROR(IF(AM36&gt;0,IF(_xlfn.XLOOKUP(F36,INDIRECT(B36),INDIRECT(B36),"NO")="NO","",_xlfn.XLOOKUP($C36,LUT!$B$3:$B$200,LUT!$D$3:$D$200,"")&amp;""),""),"")</f>
        <v/>
      </c>
      <c r="B36" s="54"/>
      <c r="C36" s="56"/>
      <c r="D36" s="88"/>
      <c r="E36" s="88"/>
      <c r="F36" s="55"/>
      <c r="G36" s="101"/>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8">
        <f t="shared" si="0"/>
        <v>0</v>
      </c>
      <c r="AK36" s="119">
        <f t="shared" si="1"/>
        <v>0</v>
      </c>
      <c r="AL36" s="129">
        <f t="shared" si="2"/>
        <v>0</v>
      </c>
      <c r="AM36" s="128">
        <f t="shared" si="3"/>
        <v>0</v>
      </c>
      <c r="AN36" s="50"/>
      <c r="AO36" s="51" t="str">
        <f t="shared" si="4"/>
        <v/>
      </c>
    </row>
    <row r="37" spans="1:43" hidden="1" x14ac:dyDescent="0.25">
      <c r="A37" s="53" t="str" cm="1">
        <f t="array" aca="1" ref="A37" ca="1">IFERROR(IF(AM37&gt;0,IF(_xlfn.XLOOKUP(F37,INDIRECT(B37),INDIRECT(B37),"NO")="NO","",_xlfn.XLOOKUP($C37,LUT!$B$3:$B$200,LUT!$D$3:$D$200,"")&amp;""),""),"")</f>
        <v/>
      </c>
      <c r="B37" s="54"/>
      <c r="C37" s="56"/>
      <c r="D37" s="88"/>
      <c r="E37" s="88"/>
      <c r="F37" s="55"/>
      <c r="G37" s="101"/>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8">
        <f t="shared" si="0"/>
        <v>0</v>
      </c>
      <c r="AK37" s="119">
        <f t="shared" si="1"/>
        <v>0</v>
      </c>
      <c r="AL37" s="129">
        <f t="shared" si="2"/>
        <v>0</v>
      </c>
      <c r="AM37" s="128">
        <f t="shared" si="3"/>
        <v>0</v>
      </c>
      <c r="AN37" s="50"/>
      <c r="AO37" s="51" t="str">
        <f t="shared" si="4"/>
        <v/>
      </c>
      <c r="AP37" s="21"/>
      <c r="AQ37" s="52"/>
    </row>
    <row r="38" spans="1:43" hidden="1" x14ac:dyDescent="0.25">
      <c r="A38" s="53" t="str" cm="1">
        <f t="array" aca="1" ref="A38" ca="1">IFERROR(IF(AM38&gt;0,IF(_xlfn.XLOOKUP(F38,INDIRECT(B38),INDIRECT(B38),"NO")="NO","",_xlfn.XLOOKUP($C38,LUT!$B$3:$B$200,LUT!$D$3:$D$200,"")&amp;""),""),"")</f>
        <v/>
      </c>
      <c r="B38" s="54"/>
      <c r="C38" s="56"/>
      <c r="D38" s="88"/>
      <c r="E38" s="88"/>
      <c r="F38" s="55"/>
      <c r="G38" s="101"/>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8">
        <f t="shared" si="0"/>
        <v>0</v>
      </c>
      <c r="AK38" s="119">
        <f t="shared" si="1"/>
        <v>0</v>
      </c>
      <c r="AL38" s="129">
        <f t="shared" si="2"/>
        <v>0</v>
      </c>
      <c r="AM38" s="128">
        <f t="shared" si="3"/>
        <v>0</v>
      </c>
      <c r="AN38" s="50"/>
      <c r="AO38" s="51" t="str">
        <f t="shared" si="4"/>
        <v/>
      </c>
      <c r="AP38" s="21"/>
      <c r="AQ38" s="52"/>
    </row>
    <row r="39" spans="1:43" hidden="1" x14ac:dyDescent="0.25">
      <c r="A39" s="53" t="str" cm="1">
        <f t="array" aca="1" ref="A39" ca="1">IFERROR(IF(AM39&gt;0,IF(_xlfn.XLOOKUP(F39,INDIRECT(B39),INDIRECT(B39),"NO")="NO","",_xlfn.XLOOKUP($C39,LUT!$B$3:$B$200,LUT!$D$3:$D$200,"")&amp;""),""),"")</f>
        <v/>
      </c>
      <c r="B39" s="54"/>
      <c r="C39" s="56"/>
      <c r="D39" s="88"/>
      <c r="E39" s="88"/>
      <c r="F39" s="55"/>
      <c r="G39" s="101"/>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8">
        <f t="shared" ref="AJ39:AJ65" si="5">SUM(H39:AI39)</f>
        <v>0</v>
      </c>
      <c r="AK39" s="119">
        <f t="shared" ref="AK39:AK65" si="6">MAX(H39:AI39)</f>
        <v>0</v>
      </c>
      <c r="AL39" s="129">
        <f t="shared" ref="AL39:AL65" si="7">_xlfn.XLOOKUP(E39,Location,labour,0)</f>
        <v>0</v>
      </c>
      <c r="AM39" s="128">
        <f t="shared" ref="AM39:AM65" si="8">AL39*AJ39</f>
        <v>0</v>
      </c>
      <c r="AN39" s="50"/>
      <c r="AO39" s="51" t="str">
        <f t="shared" si="4"/>
        <v/>
      </c>
      <c r="AP39" s="21"/>
      <c r="AQ39" s="52"/>
    </row>
    <row r="40" spans="1:43" hidden="1" x14ac:dyDescent="0.25">
      <c r="A40" s="53" t="str" cm="1">
        <f t="array" aca="1" ref="A40" ca="1">IFERROR(IF(AM40&gt;0,IF(_xlfn.XLOOKUP(F40,INDIRECT(B40),INDIRECT(B40),"NO")="NO","",_xlfn.XLOOKUP($C40,LUT!$B$3:$B$200,LUT!$D$3:$D$200,"")&amp;""),""),"")</f>
        <v/>
      </c>
      <c r="B40" s="54"/>
      <c r="C40" s="56"/>
      <c r="D40" s="88"/>
      <c r="E40" s="88"/>
      <c r="F40" s="55"/>
      <c r="G40" s="101"/>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8">
        <f t="shared" si="5"/>
        <v>0</v>
      </c>
      <c r="AK40" s="119">
        <f t="shared" si="6"/>
        <v>0</v>
      </c>
      <c r="AL40" s="129">
        <f t="shared" si="7"/>
        <v>0</v>
      </c>
      <c r="AM40" s="128">
        <f t="shared" si="8"/>
        <v>0</v>
      </c>
      <c r="AN40" s="50"/>
      <c r="AO40" s="51" t="str">
        <f t="shared" si="4"/>
        <v/>
      </c>
      <c r="AP40" s="21"/>
      <c r="AQ40" s="52"/>
    </row>
    <row r="41" spans="1:43" hidden="1" x14ac:dyDescent="0.25">
      <c r="A41" s="53" t="str" cm="1">
        <f t="array" aca="1" ref="A41" ca="1">IFERROR(IF(AM41&gt;0,IF(_xlfn.XLOOKUP(F41,INDIRECT(B41),INDIRECT(B41),"NO")="NO","",_xlfn.XLOOKUP($C41,LUT!$B$3:$B$200,LUT!$D$3:$D$200,"")&amp;""),""),"")</f>
        <v/>
      </c>
      <c r="B41" s="54"/>
      <c r="C41" s="56"/>
      <c r="D41" s="88"/>
      <c r="E41" s="88"/>
      <c r="F41" s="55"/>
      <c r="G41" s="101"/>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8">
        <f t="shared" si="5"/>
        <v>0</v>
      </c>
      <c r="AK41" s="119">
        <f t="shared" si="6"/>
        <v>0</v>
      </c>
      <c r="AL41" s="129">
        <f t="shared" si="7"/>
        <v>0</v>
      </c>
      <c r="AM41" s="128">
        <f t="shared" si="8"/>
        <v>0</v>
      </c>
      <c r="AN41" s="50"/>
      <c r="AO41" s="51" t="str">
        <f t="shared" si="4"/>
        <v/>
      </c>
      <c r="AP41" s="21"/>
      <c r="AQ41" s="52"/>
    </row>
    <row r="42" spans="1:43" hidden="1" x14ac:dyDescent="0.25">
      <c r="A42" s="53" t="str" cm="1">
        <f t="array" aca="1" ref="A42" ca="1">IFERROR(IF(AM42&gt;0,IF(_xlfn.XLOOKUP(F42,INDIRECT(B42),INDIRECT(B42),"NO")="NO","",_xlfn.XLOOKUP($C42,LUT!$B$3:$B$200,LUT!$D$3:$D$200,"")&amp;""),""),"")</f>
        <v/>
      </c>
      <c r="B42" s="54"/>
      <c r="C42" s="56"/>
      <c r="D42" s="88"/>
      <c r="E42" s="88"/>
      <c r="F42" s="55"/>
      <c r="G42" s="101"/>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8">
        <f t="shared" si="5"/>
        <v>0</v>
      </c>
      <c r="AK42" s="119">
        <f t="shared" si="6"/>
        <v>0</v>
      </c>
      <c r="AL42" s="129">
        <f t="shared" si="7"/>
        <v>0</v>
      </c>
      <c r="AM42" s="128">
        <f t="shared" si="8"/>
        <v>0</v>
      </c>
      <c r="AN42" s="50"/>
      <c r="AO42" s="51" t="str">
        <f t="shared" si="4"/>
        <v/>
      </c>
      <c r="AP42" s="21"/>
      <c r="AQ42" s="52"/>
    </row>
    <row r="43" spans="1:43" hidden="1" x14ac:dyDescent="0.25">
      <c r="A43" s="53" t="str" cm="1">
        <f t="array" aca="1" ref="A43" ca="1">IFERROR(IF(AM43&gt;0,IF(_xlfn.XLOOKUP(F43,INDIRECT(B43),INDIRECT(B43),"NO")="NO","",_xlfn.XLOOKUP($C43,LUT!$B$3:$B$200,LUT!$D$3:$D$200,"")&amp;""),""),"")</f>
        <v/>
      </c>
      <c r="B43" s="54"/>
      <c r="C43" s="56"/>
      <c r="D43" s="88"/>
      <c r="E43" s="88"/>
      <c r="F43" s="55"/>
      <c r="G43" s="101"/>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8">
        <f t="shared" si="5"/>
        <v>0</v>
      </c>
      <c r="AK43" s="119">
        <f t="shared" si="6"/>
        <v>0</v>
      </c>
      <c r="AL43" s="129">
        <f t="shared" si="7"/>
        <v>0</v>
      </c>
      <c r="AM43" s="128">
        <f t="shared" si="8"/>
        <v>0</v>
      </c>
      <c r="AN43" s="50"/>
      <c r="AO43" s="51" t="str">
        <f t="shared" si="4"/>
        <v/>
      </c>
      <c r="AP43" s="21"/>
      <c r="AQ43" s="52"/>
    </row>
    <row r="44" spans="1:43" hidden="1" x14ac:dyDescent="0.25">
      <c r="A44" s="53" t="str" cm="1">
        <f t="array" aca="1" ref="A44" ca="1">IFERROR(IF(AM44&gt;0,IF(_xlfn.XLOOKUP(F44,INDIRECT(B44),INDIRECT(B44),"NO")="NO","",_xlfn.XLOOKUP($C44,LUT!$B$3:$B$200,LUT!$D$3:$D$200,"")&amp;""),""),"")</f>
        <v/>
      </c>
      <c r="B44" s="54"/>
      <c r="C44" s="56"/>
      <c r="D44" s="88"/>
      <c r="E44" s="88"/>
      <c r="F44" s="55"/>
      <c r="G44" s="101"/>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8">
        <f t="shared" si="5"/>
        <v>0</v>
      </c>
      <c r="AK44" s="119">
        <f t="shared" si="6"/>
        <v>0</v>
      </c>
      <c r="AL44" s="129">
        <f t="shared" si="7"/>
        <v>0</v>
      </c>
      <c r="AM44" s="128">
        <f t="shared" si="8"/>
        <v>0</v>
      </c>
      <c r="AN44" s="50"/>
      <c r="AO44" s="51" t="str">
        <f t="shared" si="4"/>
        <v/>
      </c>
      <c r="AP44" s="21"/>
      <c r="AQ44" s="52"/>
    </row>
    <row r="45" spans="1:43" hidden="1" x14ac:dyDescent="0.25">
      <c r="A45" s="53" t="str" cm="1">
        <f t="array" aca="1" ref="A45" ca="1">IFERROR(IF(AM45&gt;0,IF(_xlfn.XLOOKUP(F45,INDIRECT(B45),INDIRECT(B45),"NO")="NO","",_xlfn.XLOOKUP($C45,LUT!$B$3:$B$200,LUT!$D$3:$D$200,"")&amp;""),""),"")</f>
        <v/>
      </c>
      <c r="B45" s="54"/>
      <c r="C45" s="56"/>
      <c r="D45" s="88"/>
      <c r="E45" s="88"/>
      <c r="F45" s="55"/>
      <c r="G45" s="101"/>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8">
        <f t="shared" si="5"/>
        <v>0</v>
      </c>
      <c r="AK45" s="119">
        <f t="shared" si="6"/>
        <v>0</v>
      </c>
      <c r="AL45" s="129">
        <f t="shared" si="7"/>
        <v>0</v>
      </c>
      <c r="AM45" s="128">
        <f t="shared" si="8"/>
        <v>0</v>
      </c>
      <c r="AN45" s="50"/>
      <c r="AO45" s="51" t="str">
        <f t="shared" si="4"/>
        <v/>
      </c>
      <c r="AP45" s="21"/>
      <c r="AQ45" s="52"/>
    </row>
    <row r="46" spans="1:43" hidden="1" x14ac:dyDescent="0.25">
      <c r="A46" s="53" t="str" cm="1">
        <f t="array" aca="1" ref="A46" ca="1">IFERROR(IF(AM46&gt;0,IF(_xlfn.XLOOKUP(F46,INDIRECT(B46),INDIRECT(B46),"NO")="NO","",_xlfn.XLOOKUP($C46,LUT!$B$3:$B$200,LUT!$D$3:$D$200,"")&amp;""),""),"")</f>
        <v/>
      </c>
      <c r="B46" s="54"/>
      <c r="C46" s="56"/>
      <c r="D46" s="88"/>
      <c r="E46" s="88"/>
      <c r="F46" s="55"/>
      <c r="G46" s="101"/>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8">
        <f t="shared" si="5"/>
        <v>0</v>
      </c>
      <c r="AK46" s="119">
        <f t="shared" si="6"/>
        <v>0</v>
      </c>
      <c r="AL46" s="129">
        <f t="shared" si="7"/>
        <v>0</v>
      </c>
      <c r="AM46" s="128">
        <f t="shared" si="8"/>
        <v>0</v>
      </c>
      <c r="AN46" s="50"/>
      <c r="AO46" s="51" t="str">
        <f t="shared" si="4"/>
        <v/>
      </c>
      <c r="AP46" s="21"/>
      <c r="AQ46" s="52"/>
    </row>
    <row r="47" spans="1:43" hidden="1" x14ac:dyDescent="0.25">
      <c r="A47" s="53" t="str" cm="1">
        <f t="array" aca="1" ref="A47" ca="1">IFERROR(IF(AM47&gt;0,IF(_xlfn.XLOOKUP(F47,INDIRECT(B47),INDIRECT(B47),"NO")="NO","",_xlfn.XLOOKUP($C47,LUT!$B$3:$B$200,LUT!$D$3:$D$200,"")&amp;""),""),"")</f>
        <v/>
      </c>
      <c r="B47" s="54"/>
      <c r="C47" s="56"/>
      <c r="D47" s="88"/>
      <c r="E47" s="88"/>
      <c r="F47" s="55"/>
      <c r="G47" s="101"/>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8">
        <f t="shared" si="5"/>
        <v>0</v>
      </c>
      <c r="AK47" s="119">
        <f t="shared" si="6"/>
        <v>0</v>
      </c>
      <c r="AL47" s="129">
        <f t="shared" si="7"/>
        <v>0</v>
      </c>
      <c r="AM47" s="128">
        <f t="shared" si="8"/>
        <v>0</v>
      </c>
      <c r="AN47" s="50"/>
      <c r="AO47" s="51" t="str">
        <f t="shared" si="4"/>
        <v/>
      </c>
      <c r="AP47" s="21"/>
      <c r="AQ47" s="52"/>
    </row>
    <row r="48" spans="1:43" hidden="1" x14ac:dyDescent="0.25">
      <c r="A48" s="53" t="str" cm="1">
        <f t="array" aca="1" ref="A48" ca="1">IFERROR(IF(AM48&gt;0,IF(_xlfn.XLOOKUP(F48,INDIRECT(B48),INDIRECT(B48),"NO")="NO","",_xlfn.XLOOKUP($C48,LUT!$B$3:$B$200,LUT!$D$3:$D$200,"")&amp;""),""),"")</f>
        <v/>
      </c>
      <c r="B48" s="54"/>
      <c r="C48" s="56"/>
      <c r="D48" s="88"/>
      <c r="E48" s="88"/>
      <c r="F48" s="55"/>
      <c r="G48" s="101"/>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8">
        <f t="shared" si="5"/>
        <v>0</v>
      </c>
      <c r="AK48" s="119">
        <f t="shared" si="6"/>
        <v>0</v>
      </c>
      <c r="AL48" s="129">
        <f t="shared" si="7"/>
        <v>0</v>
      </c>
      <c r="AM48" s="128">
        <f t="shared" si="8"/>
        <v>0</v>
      </c>
      <c r="AN48" s="50"/>
      <c r="AO48" s="51" t="str">
        <f t="shared" si="4"/>
        <v/>
      </c>
      <c r="AP48" s="21"/>
      <c r="AQ48" s="52"/>
    </row>
    <row r="49" spans="1:43" hidden="1" x14ac:dyDescent="0.25">
      <c r="A49" s="53" t="str" cm="1">
        <f t="array" aca="1" ref="A49" ca="1">IFERROR(IF(AM49&gt;0,IF(_xlfn.XLOOKUP(F49,INDIRECT(B49),INDIRECT(B49),"NO")="NO","",_xlfn.XLOOKUP($C49,LUT!$B$3:$B$200,LUT!$D$3:$D$200,"")&amp;""),""),"")</f>
        <v/>
      </c>
      <c r="B49" s="54"/>
      <c r="C49" s="56"/>
      <c r="D49" s="88"/>
      <c r="E49" s="88"/>
      <c r="F49" s="55"/>
      <c r="G49" s="101"/>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c r="AI49" s="117"/>
      <c r="AJ49" s="118">
        <f t="shared" si="5"/>
        <v>0</v>
      </c>
      <c r="AK49" s="119">
        <f t="shared" si="6"/>
        <v>0</v>
      </c>
      <c r="AL49" s="129">
        <f t="shared" si="7"/>
        <v>0</v>
      </c>
      <c r="AM49" s="128">
        <f t="shared" si="8"/>
        <v>0</v>
      </c>
      <c r="AN49" s="50"/>
      <c r="AO49" s="51" t="str">
        <f t="shared" si="4"/>
        <v/>
      </c>
      <c r="AP49" s="21"/>
      <c r="AQ49" s="52"/>
    </row>
    <row r="50" spans="1:43" hidden="1" x14ac:dyDescent="0.25">
      <c r="A50" s="53" t="str" cm="1">
        <f t="array" aca="1" ref="A50" ca="1">IFERROR(IF(AM50&gt;0,IF(_xlfn.XLOOKUP(F50,INDIRECT(B50),INDIRECT(B50),"NO")="NO","",_xlfn.XLOOKUP($C50,LUT!$B$3:$B$200,LUT!$D$3:$D$200,"")&amp;""),""),"")</f>
        <v/>
      </c>
      <c r="B50" s="54"/>
      <c r="C50" s="56"/>
      <c r="D50" s="88"/>
      <c r="E50" s="88"/>
      <c r="F50" s="55"/>
      <c r="G50" s="101"/>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8">
        <f t="shared" si="5"/>
        <v>0</v>
      </c>
      <c r="AK50" s="119">
        <f t="shared" si="6"/>
        <v>0</v>
      </c>
      <c r="AL50" s="129">
        <f t="shared" si="7"/>
        <v>0</v>
      </c>
      <c r="AM50" s="128">
        <f t="shared" si="8"/>
        <v>0</v>
      </c>
      <c r="AN50" s="50"/>
      <c r="AO50" s="51" t="str">
        <f t="shared" si="4"/>
        <v/>
      </c>
      <c r="AP50" s="21"/>
      <c r="AQ50" s="52"/>
    </row>
    <row r="51" spans="1:43" hidden="1" x14ac:dyDescent="0.25">
      <c r="A51" s="53" t="str" cm="1">
        <f t="array" aca="1" ref="A51" ca="1">IFERROR(IF(AM51&gt;0,IF(_xlfn.XLOOKUP(F51,INDIRECT(B51),INDIRECT(B51),"NO")="NO","",_xlfn.XLOOKUP($C51,LUT!$B$3:$B$200,LUT!$D$3:$D$200,"")&amp;""),""),"")</f>
        <v/>
      </c>
      <c r="B51" s="54"/>
      <c r="C51" s="56"/>
      <c r="D51" s="88"/>
      <c r="E51" s="88"/>
      <c r="F51" s="55"/>
      <c r="G51" s="101"/>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8">
        <f t="shared" si="5"/>
        <v>0</v>
      </c>
      <c r="AK51" s="119">
        <f t="shared" si="6"/>
        <v>0</v>
      </c>
      <c r="AL51" s="129">
        <f t="shared" si="7"/>
        <v>0</v>
      </c>
      <c r="AM51" s="128">
        <f t="shared" si="8"/>
        <v>0</v>
      </c>
      <c r="AN51" s="50"/>
      <c r="AO51" s="51" t="str">
        <f t="shared" si="4"/>
        <v/>
      </c>
      <c r="AP51" s="21"/>
      <c r="AQ51" s="52"/>
    </row>
    <row r="52" spans="1:43" hidden="1" x14ac:dyDescent="0.25">
      <c r="A52" s="53" t="str" cm="1">
        <f t="array" aca="1" ref="A52" ca="1">IFERROR(IF(AM52&gt;0,IF(_xlfn.XLOOKUP(F52,INDIRECT(B52),INDIRECT(B52),"NO")="NO","",_xlfn.XLOOKUP($C52,LUT!$B$3:$B$200,LUT!$D$3:$D$200,"")&amp;""),""),"")</f>
        <v/>
      </c>
      <c r="B52" s="54"/>
      <c r="C52" s="56"/>
      <c r="D52" s="88"/>
      <c r="E52" s="88"/>
      <c r="F52" s="55"/>
      <c r="G52" s="101"/>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8">
        <f t="shared" si="5"/>
        <v>0</v>
      </c>
      <c r="AK52" s="119">
        <f t="shared" si="6"/>
        <v>0</v>
      </c>
      <c r="AL52" s="129">
        <f t="shared" si="7"/>
        <v>0</v>
      </c>
      <c r="AM52" s="128">
        <f t="shared" si="8"/>
        <v>0</v>
      </c>
      <c r="AN52" s="50"/>
      <c r="AO52" s="51" t="str">
        <f t="shared" si="4"/>
        <v/>
      </c>
      <c r="AP52" s="21"/>
      <c r="AQ52" s="52"/>
    </row>
    <row r="53" spans="1:43" hidden="1" x14ac:dyDescent="0.25">
      <c r="A53" s="53" t="str" cm="1">
        <f t="array" aca="1" ref="A53" ca="1">IFERROR(IF(AM53&gt;0,IF(_xlfn.XLOOKUP(F53,INDIRECT(B53),INDIRECT(B53),"NO")="NO","",_xlfn.XLOOKUP($C53,LUT!$B$3:$B$200,LUT!$D$3:$D$200,"")&amp;""),""),"")</f>
        <v/>
      </c>
      <c r="B53" s="54"/>
      <c r="C53" s="56"/>
      <c r="D53" s="88"/>
      <c r="E53" s="88"/>
      <c r="F53" s="55"/>
      <c r="G53" s="101"/>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8">
        <f t="shared" si="5"/>
        <v>0</v>
      </c>
      <c r="AK53" s="119">
        <f t="shared" si="6"/>
        <v>0</v>
      </c>
      <c r="AL53" s="129">
        <f t="shared" si="7"/>
        <v>0</v>
      </c>
      <c r="AM53" s="128">
        <f t="shared" si="8"/>
        <v>0</v>
      </c>
      <c r="AN53" s="50"/>
      <c r="AO53" s="51" t="str">
        <f t="shared" si="4"/>
        <v/>
      </c>
      <c r="AP53" s="21"/>
      <c r="AQ53" s="52"/>
    </row>
    <row r="54" spans="1:43" hidden="1" x14ac:dyDescent="0.25">
      <c r="A54" s="53" t="str" cm="1">
        <f t="array" aca="1" ref="A54" ca="1">IFERROR(IF(AM54&gt;0,IF(_xlfn.XLOOKUP(F54,INDIRECT(B54),INDIRECT(B54),"NO")="NO","",_xlfn.XLOOKUP($C54,LUT!$B$3:$B$200,LUT!$D$3:$D$200,"")&amp;""),""),"")</f>
        <v/>
      </c>
      <c r="B54" s="54"/>
      <c r="C54" s="56"/>
      <c r="D54" s="88"/>
      <c r="E54" s="88"/>
      <c r="F54" s="55"/>
      <c r="G54" s="101"/>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118">
        <f t="shared" si="5"/>
        <v>0</v>
      </c>
      <c r="AK54" s="119">
        <f t="shared" si="6"/>
        <v>0</v>
      </c>
      <c r="AL54" s="129">
        <f t="shared" si="7"/>
        <v>0</v>
      </c>
      <c r="AM54" s="128">
        <f t="shared" si="8"/>
        <v>0</v>
      </c>
      <c r="AN54" s="50"/>
      <c r="AO54" s="51" t="str">
        <f t="shared" si="4"/>
        <v/>
      </c>
      <c r="AP54" s="21"/>
      <c r="AQ54" s="52"/>
    </row>
    <row r="55" spans="1:43" hidden="1" x14ac:dyDescent="0.25">
      <c r="A55" s="53" t="str" cm="1">
        <f t="array" aca="1" ref="A55" ca="1">IFERROR(IF(AM55&gt;0,IF(_xlfn.XLOOKUP(F55,INDIRECT(B55),INDIRECT(B55),"NO")="NO","",_xlfn.XLOOKUP($C55,LUT!$B$3:$B$200,LUT!$D$3:$D$200,"")&amp;""),""),"")</f>
        <v/>
      </c>
      <c r="B55" s="54"/>
      <c r="C55" s="56"/>
      <c r="D55" s="88"/>
      <c r="E55" s="88"/>
      <c r="F55" s="55"/>
      <c r="G55" s="101"/>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8">
        <f t="shared" si="5"/>
        <v>0</v>
      </c>
      <c r="AK55" s="119">
        <f t="shared" si="6"/>
        <v>0</v>
      </c>
      <c r="AL55" s="129">
        <f t="shared" si="7"/>
        <v>0</v>
      </c>
      <c r="AM55" s="128">
        <f t="shared" si="8"/>
        <v>0</v>
      </c>
      <c r="AN55" s="50"/>
      <c r="AO55" s="51" t="str">
        <f t="shared" si="4"/>
        <v/>
      </c>
      <c r="AP55" s="21"/>
      <c r="AQ55" s="52"/>
    </row>
    <row r="56" spans="1:43" hidden="1" x14ac:dyDescent="0.25">
      <c r="A56" s="53" t="str" cm="1">
        <f t="array" aca="1" ref="A56" ca="1">IFERROR(IF(AM56&gt;0,IF(_xlfn.XLOOKUP(F56,INDIRECT(B56),INDIRECT(B56),"NO")="NO","",_xlfn.XLOOKUP($C56,LUT!$B$3:$B$200,LUT!$D$3:$D$200,"")&amp;""),""),"")</f>
        <v/>
      </c>
      <c r="B56" s="54"/>
      <c r="C56" s="56"/>
      <c r="D56" s="88"/>
      <c r="E56" s="88"/>
      <c r="F56" s="55"/>
      <c r="G56" s="101"/>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8">
        <f t="shared" si="5"/>
        <v>0</v>
      </c>
      <c r="AK56" s="119">
        <f t="shared" si="6"/>
        <v>0</v>
      </c>
      <c r="AL56" s="129">
        <f t="shared" si="7"/>
        <v>0</v>
      </c>
      <c r="AM56" s="128">
        <f t="shared" si="8"/>
        <v>0</v>
      </c>
      <c r="AN56" s="50"/>
      <c r="AO56" s="51" t="str">
        <f t="shared" si="4"/>
        <v/>
      </c>
      <c r="AP56" s="21"/>
      <c r="AQ56" s="52"/>
    </row>
    <row r="57" spans="1:43" hidden="1" x14ac:dyDescent="0.25">
      <c r="A57" s="53" t="str" cm="1">
        <f t="array" aca="1" ref="A57" ca="1">IFERROR(IF(AM57&gt;0,IF(_xlfn.XLOOKUP(F57,INDIRECT(B57),INDIRECT(B57),"NO")="NO","",_xlfn.XLOOKUP($C57,LUT!$B$3:$B$200,LUT!$D$3:$D$200,"")&amp;""),""),"")</f>
        <v/>
      </c>
      <c r="B57" s="54"/>
      <c r="C57" s="56"/>
      <c r="D57" s="88"/>
      <c r="E57" s="88"/>
      <c r="F57" s="55"/>
      <c r="G57" s="101"/>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c r="AI57" s="117"/>
      <c r="AJ57" s="118">
        <f t="shared" si="5"/>
        <v>0</v>
      </c>
      <c r="AK57" s="119">
        <f t="shared" si="6"/>
        <v>0</v>
      </c>
      <c r="AL57" s="129">
        <f t="shared" si="7"/>
        <v>0</v>
      </c>
      <c r="AM57" s="128">
        <f t="shared" si="8"/>
        <v>0</v>
      </c>
      <c r="AN57" s="50"/>
      <c r="AO57" s="51" t="str">
        <f t="shared" si="4"/>
        <v/>
      </c>
      <c r="AP57" s="21"/>
      <c r="AQ57" s="52"/>
    </row>
    <row r="58" spans="1:43" hidden="1" x14ac:dyDescent="0.25">
      <c r="A58" s="53" t="str" cm="1">
        <f t="array" aca="1" ref="A58" ca="1">IFERROR(IF(AM58&gt;0,IF(_xlfn.XLOOKUP(F58,INDIRECT(B58),INDIRECT(B58),"NO")="NO","",_xlfn.XLOOKUP($C58,LUT!$B$3:$B$200,LUT!$D$3:$D$200,"")&amp;""),""),"")</f>
        <v/>
      </c>
      <c r="B58" s="54"/>
      <c r="C58" s="56"/>
      <c r="D58" s="88"/>
      <c r="E58" s="88"/>
      <c r="F58" s="55"/>
      <c r="G58" s="101"/>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8">
        <f t="shared" si="5"/>
        <v>0</v>
      </c>
      <c r="AK58" s="119">
        <f t="shared" si="6"/>
        <v>0</v>
      </c>
      <c r="AL58" s="129">
        <f t="shared" si="7"/>
        <v>0</v>
      </c>
      <c r="AM58" s="128">
        <f t="shared" si="8"/>
        <v>0</v>
      </c>
      <c r="AN58" s="50"/>
      <c r="AO58" s="51" t="str">
        <f t="shared" si="4"/>
        <v/>
      </c>
      <c r="AP58" s="21"/>
      <c r="AQ58" s="52"/>
    </row>
    <row r="59" spans="1:43" hidden="1" x14ac:dyDescent="0.25">
      <c r="A59" s="53" t="str" cm="1">
        <f t="array" aca="1" ref="A59" ca="1">IFERROR(IF(AM59&gt;0,IF(_xlfn.XLOOKUP(F59,INDIRECT(B59),INDIRECT(B59),"NO")="NO","",_xlfn.XLOOKUP($C59,LUT!$B$3:$B$200,LUT!$D$3:$D$200,"")&amp;""),""),"")</f>
        <v/>
      </c>
      <c r="B59" s="54"/>
      <c r="C59" s="56"/>
      <c r="D59" s="88"/>
      <c r="E59" s="88"/>
      <c r="F59" s="55"/>
      <c r="G59" s="101"/>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8">
        <f t="shared" si="5"/>
        <v>0</v>
      </c>
      <c r="AK59" s="119">
        <f t="shared" si="6"/>
        <v>0</v>
      </c>
      <c r="AL59" s="129">
        <f t="shared" si="7"/>
        <v>0</v>
      </c>
      <c r="AM59" s="128">
        <f t="shared" si="8"/>
        <v>0</v>
      </c>
      <c r="AN59" s="50"/>
      <c r="AO59" s="51" t="str">
        <f t="shared" si="4"/>
        <v/>
      </c>
      <c r="AP59" s="21"/>
      <c r="AQ59" s="52"/>
    </row>
    <row r="60" spans="1:43" hidden="1" x14ac:dyDescent="0.25">
      <c r="A60" s="53" t="str" cm="1">
        <f t="array" aca="1" ref="A60" ca="1">IFERROR(IF(AM60&gt;0,IF(_xlfn.XLOOKUP(F60,INDIRECT(B60),INDIRECT(B60),"NO")="NO","",_xlfn.XLOOKUP($C60,LUT!$B$3:$B$200,LUT!$D$3:$D$200,"")&amp;""),""),"")</f>
        <v/>
      </c>
      <c r="B60" s="54"/>
      <c r="C60" s="56"/>
      <c r="D60" s="88"/>
      <c r="E60" s="88"/>
      <c r="F60" s="55"/>
      <c r="G60" s="101"/>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c r="AI60" s="117"/>
      <c r="AJ60" s="118">
        <f t="shared" si="5"/>
        <v>0</v>
      </c>
      <c r="AK60" s="119">
        <f t="shared" si="6"/>
        <v>0</v>
      </c>
      <c r="AL60" s="129">
        <f t="shared" si="7"/>
        <v>0</v>
      </c>
      <c r="AM60" s="128">
        <f t="shared" si="8"/>
        <v>0</v>
      </c>
      <c r="AN60" s="50"/>
      <c r="AO60" s="51" t="str">
        <f t="shared" si="4"/>
        <v/>
      </c>
      <c r="AP60" s="21"/>
      <c r="AQ60" s="52"/>
    </row>
    <row r="61" spans="1:43" hidden="1" x14ac:dyDescent="0.25">
      <c r="A61" s="53" t="str" cm="1">
        <f t="array" aca="1" ref="A61" ca="1">IFERROR(IF(AM61&gt;0,IF(_xlfn.XLOOKUP(F61,INDIRECT(B61),INDIRECT(B61),"NO")="NO","",_xlfn.XLOOKUP($C61,LUT!$B$3:$B$200,LUT!$D$3:$D$200,"")&amp;""),""),"")</f>
        <v/>
      </c>
      <c r="B61" s="54"/>
      <c r="C61" s="56"/>
      <c r="D61" s="88"/>
      <c r="E61" s="88"/>
      <c r="F61" s="55"/>
      <c r="G61" s="101"/>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8">
        <f t="shared" si="5"/>
        <v>0</v>
      </c>
      <c r="AK61" s="119">
        <f t="shared" si="6"/>
        <v>0</v>
      </c>
      <c r="AL61" s="129">
        <f t="shared" si="7"/>
        <v>0</v>
      </c>
      <c r="AM61" s="128">
        <f t="shared" si="8"/>
        <v>0</v>
      </c>
      <c r="AN61" s="50"/>
      <c r="AO61" s="51" t="str">
        <f t="shared" si="4"/>
        <v/>
      </c>
      <c r="AP61" s="21"/>
      <c r="AQ61" s="52"/>
    </row>
    <row r="62" spans="1:43" hidden="1" x14ac:dyDescent="0.25">
      <c r="A62" s="53" t="str" cm="1">
        <f t="array" aca="1" ref="A62" ca="1">IFERROR(IF(AM62&gt;0,IF(_xlfn.XLOOKUP(F62,INDIRECT(B62),INDIRECT(B62),"NO")="NO","",_xlfn.XLOOKUP($C62,LUT!$B$3:$B$200,LUT!$D$3:$D$200,"")&amp;""),""),"")</f>
        <v/>
      </c>
      <c r="B62" s="54"/>
      <c r="C62" s="56"/>
      <c r="D62" s="88"/>
      <c r="E62" s="88"/>
      <c r="F62" s="55"/>
      <c r="G62" s="101"/>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8">
        <f t="shared" si="5"/>
        <v>0</v>
      </c>
      <c r="AK62" s="119">
        <f t="shared" si="6"/>
        <v>0</v>
      </c>
      <c r="AL62" s="129">
        <f t="shared" si="7"/>
        <v>0</v>
      </c>
      <c r="AM62" s="128">
        <f t="shared" si="8"/>
        <v>0</v>
      </c>
      <c r="AN62" s="50"/>
      <c r="AO62" s="51" t="str">
        <f t="shared" si="4"/>
        <v/>
      </c>
      <c r="AP62" s="21"/>
      <c r="AQ62" s="52"/>
    </row>
    <row r="63" spans="1:43" hidden="1" x14ac:dyDescent="0.25">
      <c r="A63" s="53" t="str" cm="1">
        <f t="array" aca="1" ref="A63" ca="1">IFERROR(IF(AM63&gt;0,IF(_xlfn.XLOOKUP(F63,INDIRECT(B63),INDIRECT(B63),"NO")="NO","",_xlfn.XLOOKUP($C63,LUT!$B$3:$B$200,LUT!$D$3:$D$200,"")&amp;""),""),"")</f>
        <v/>
      </c>
      <c r="B63" s="54"/>
      <c r="C63" s="56"/>
      <c r="D63" s="88"/>
      <c r="E63" s="88"/>
      <c r="F63" s="55"/>
      <c r="G63" s="101"/>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c r="AI63" s="117"/>
      <c r="AJ63" s="118">
        <f t="shared" si="5"/>
        <v>0</v>
      </c>
      <c r="AK63" s="119">
        <f t="shared" si="6"/>
        <v>0</v>
      </c>
      <c r="AL63" s="129">
        <f t="shared" si="7"/>
        <v>0</v>
      </c>
      <c r="AM63" s="128">
        <f t="shared" si="8"/>
        <v>0</v>
      </c>
      <c r="AN63" s="50"/>
      <c r="AO63" s="51" t="str">
        <f t="shared" si="4"/>
        <v/>
      </c>
      <c r="AP63" s="21"/>
      <c r="AQ63" s="52"/>
    </row>
    <row r="64" spans="1:43" hidden="1" x14ac:dyDescent="0.25">
      <c r="A64" s="53" t="str" cm="1">
        <f t="array" aca="1" ref="A64" ca="1">IFERROR(IF(AM64&gt;0,IF(_xlfn.XLOOKUP(F64,INDIRECT(B64),INDIRECT(B64),"NO")="NO","",_xlfn.XLOOKUP($C64,LUT!$B$3:$B$200,LUT!$D$3:$D$200,"")&amp;""),""),"")</f>
        <v/>
      </c>
      <c r="B64" s="54"/>
      <c r="C64" s="56"/>
      <c r="D64" s="88"/>
      <c r="E64" s="88"/>
      <c r="F64" s="55"/>
      <c r="G64" s="101"/>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7"/>
      <c r="AI64" s="117"/>
      <c r="AJ64" s="118">
        <f t="shared" si="5"/>
        <v>0</v>
      </c>
      <c r="AK64" s="119">
        <f t="shared" si="6"/>
        <v>0</v>
      </c>
      <c r="AL64" s="129">
        <f t="shared" si="7"/>
        <v>0</v>
      </c>
      <c r="AM64" s="128">
        <f t="shared" si="8"/>
        <v>0</v>
      </c>
      <c r="AN64" s="50"/>
      <c r="AO64" s="51"/>
      <c r="AP64" s="21"/>
      <c r="AQ64" s="52"/>
    </row>
    <row r="65" spans="1:44" hidden="1" x14ac:dyDescent="0.25">
      <c r="A65" s="53" t="str" cm="1">
        <f t="array" aca="1" ref="A65" ca="1">IFERROR(IF(AM65&gt;0,IF(_xlfn.XLOOKUP(F65,INDIRECT(B65),INDIRECT(B65),"NO")="NO","",_xlfn.XLOOKUP($C65,LUT!$B$3:$B$200,LUT!$D$3:$D$200,"")&amp;""),""),"")</f>
        <v/>
      </c>
      <c r="B65" s="54"/>
      <c r="C65" s="56"/>
      <c r="D65" s="88"/>
      <c r="E65" s="88"/>
      <c r="F65" s="55"/>
      <c r="G65" s="101"/>
      <c r="H65" s="117"/>
      <c r="I65" s="117"/>
      <c r="J65" s="117"/>
      <c r="K65" s="117"/>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7"/>
      <c r="AI65" s="117"/>
      <c r="AJ65" s="118">
        <f t="shared" si="5"/>
        <v>0</v>
      </c>
      <c r="AK65" s="119">
        <f t="shared" si="6"/>
        <v>0</v>
      </c>
      <c r="AL65" s="129">
        <f t="shared" si="7"/>
        <v>0</v>
      </c>
      <c r="AM65" s="128">
        <f t="shared" si="8"/>
        <v>0</v>
      </c>
      <c r="AN65" s="50"/>
      <c r="AO65" s="51" t="str">
        <f>IF($AM65&gt;0,IF(AND($G65&lt;&gt;"",$F65&lt;&gt;"",$A65&lt;&gt;"",$B65&lt;&gt;"",$C65&lt;&gt;""),"","Check"),"")</f>
        <v/>
      </c>
      <c r="AP65" s="21"/>
      <c r="AQ65" s="52"/>
    </row>
    <row r="66" spans="1:44" x14ac:dyDescent="0.25">
      <c r="A66" s="57"/>
      <c r="B66" s="57"/>
      <c r="C66" s="57"/>
      <c r="D66" s="57"/>
      <c r="E66" s="57"/>
      <c r="F66" s="57"/>
      <c r="G66" s="57"/>
      <c r="H66" s="120"/>
      <c r="I66" s="120"/>
      <c r="J66" s="120"/>
      <c r="K66" s="120"/>
      <c r="L66" s="120"/>
      <c r="M66" s="120"/>
      <c r="N66" s="120"/>
      <c r="O66" s="120"/>
      <c r="P66" s="120"/>
      <c r="Q66" s="120"/>
      <c r="R66" s="120"/>
      <c r="S66" s="120"/>
      <c r="T66" s="120"/>
      <c r="U66" s="120"/>
      <c r="V66" s="120"/>
      <c r="W66" s="120"/>
      <c r="X66" s="120"/>
      <c r="Y66" s="120"/>
      <c r="Z66" s="120"/>
      <c r="AA66" s="120"/>
      <c r="AB66" s="120"/>
      <c r="AC66" s="120"/>
      <c r="AD66" s="120"/>
      <c r="AE66" s="120"/>
      <c r="AF66" s="120"/>
      <c r="AG66" s="121"/>
      <c r="AH66" s="121"/>
      <c r="AI66" s="121"/>
      <c r="AJ66" s="122"/>
      <c r="AK66" s="123"/>
      <c r="AL66" s="130"/>
      <c r="AM66" s="131"/>
      <c r="AN66" s="58"/>
      <c r="AO66" s="59"/>
      <c r="AP66" s="21"/>
      <c r="AQ66" s="52"/>
    </row>
    <row r="67" spans="1:44" x14ac:dyDescent="0.25">
      <c r="A67" s="225" t="s">
        <v>110</v>
      </c>
      <c r="B67" s="226"/>
      <c r="C67" s="226"/>
      <c r="D67" s="226"/>
      <c r="E67" s="227"/>
      <c r="F67" s="228" t="s">
        <v>111</v>
      </c>
      <c r="G67" s="60" t="s">
        <v>88</v>
      </c>
      <c r="H67" s="124" cm="1">
        <f t="array" aca="1" ref="H67" ca="1">SUMPRODUCT(SUBTOTAL(9,OFFSET(H$6,ROW(H$6:H$66)-ROW(H$6),)),--($G$6:$G$66=$G67))</f>
        <v>0</v>
      </c>
      <c r="I67" s="124" cm="1">
        <f t="array" aca="1" ref="I67" ca="1">SUMPRODUCT(SUBTOTAL(9,OFFSET(I$6,ROW(I$6:I$66)-ROW(I$6),)),--($G$6:$G$66=$G67))</f>
        <v>0</v>
      </c>
      <c r="J67" s="124" cm="1">
        <f t="array" aca="1" ref="J67" ca="1">SUMPRODUCT(SUBTOTAL(9,OFFSET(J$6,ROW(J$6:J$66)-ROW(J$6),)),--($G$6:$G$66=$G67))</f>
        <v>0</v>
      </c>
      <c r="K67" s="124" cm="1">
        <f t="array" aca="1" ref="K67" ca="1">SUMPRODUCT(SUBTOTAL(9,OFFSET(K$6,ROW(K$6:K$66)-ROW(K$6),)),--($G$6:$G$66=$G67))</f>
        <v>0</v>
      </c>
      <c r="L67" s="124" cm="1">
        <f t="array" aca="1" ref="L67" ca="1">SUMPRODUCT(SUBTOTAL(9,OFFSET(L$6,ROW(L$6:L$66)-ROW(L$6),)),--($G$6:$G$66=$G67))</f>
        <v>0</v>
      </c>
      <c r="M67" s="124" cm="1">
        <f t="array" aca="1" ref="M67" ca="1">SUMPRODUCT(SUBTOTAL(9,OFFSET(M$6,ROW(M$6:M$66)-ROW(M$6),)),--($G$6:$G$66=$G67))</f>
        <v>0</v>
      </c>
      <c r="N67" s="124" cm="1">
        <f t="array" aca="1" ref="N67" ca="1">SUMPRODUCT(SUBTOTAL(9,OFFSET(N$6,ROW(N$6:N$66)-ROW(N$6),)),--($G$6:$G$66=$G67))</f>
        <v>0</v>
      </c>
      <c r="O67" s="124" cm="1">
        <f t="array" aca="1" ref="O67" ca="1">SUMPRODUCT(SUBTOTAL(9,OFFSET(O$6,ROW(O$6:O$66)-ROW(O$6),)),--($G$6:$G$66=$G67))</f>
        <v>0</v>
      </c>
      <c r="P67" s="124" cm="1">
        <f t="array" aca="1" ref="P67" ca="1">SUMPRODUCT(SUBTOTAL(9,OFFSET(P$6,ROW(P$6:P$66)-ROW(P$6),)),--($G$6:$G$66=$G67))</f>
        <v>0</v>
      </c>
      <c r="Q67" s="124" cm="1">
        <f t="array" aca="1" ref="Q67" ca="1">SUMPRODUCT(SUBTOTAL(9,OFFSET(Q$6,ROW(Q$6:Q$66)-ROW(Q$6),)),--($G$6:$G$66=$G67))</f>
        <v>0</v>
      </c>
      <c r="R67" s="124" cm="1">
        <f t="array" aca="1" ref="R67" ca="1">SUMPRODUCT(SUBTOTAL(9,OFFSET(R$6,ROW(R$6:R$66)-ROW(R$6),)),--($G$6:$G$66=$G67))</f>
        <v>0</v>
      </c>
      <c r="S67" s="124" cm="1">
        <f t="array" aca="1" ref="S67" ca="1">SUMPRODUCT(SUBTOTAL(9,OFFSET(S$6,ROW(S$6:S$66)-ROW(S$6),)),--($G$6:$G$66=$G67))</f>
        <v>0</v>
      </c>
      <c r="T67" s="124" cm="1">
        <f t="array" aca="1" ref="T67" ca="1">SUMPRODUCT(SUBTOTAL(9,OFFSET(T$6,ROW(T$6:T$66)-ROW(T$6),)),--($G$6:$G$66=$G67))</f>
        <v>0</v>
      </c>
      <c r="U67" s="124" cm="1">
        <f t="array" aca="1" ref="U67" ca="1">SUMPRODUCT(SUBTOTAL(9,OFFSET(U$6,ROW(U$6:U$66)-ROW(U$6),)),--($G$6:$G$66=$G67))</f>
        <v>0</v>
      </c>
      <c r="V67" s="124" cm="1">
        <f t="array" aca="1" ref="V67" ca="1">SUMPRODUCT(SUBTOTAL(9,OFFSET(V$6,ROW(V$6:V$66)-ROW(V$6),)),--($G$6:$G$66=$G67))</f>
        <v>0</v>
      </c>
      <c r="W67" s="124" cm="1">
        <f t="array" aca="1" ref="W67" ca="1">SUMPRODUCT(SUBTOTAL(9,OFFSET(W$6,ROW(W$6:W$66)-ROW(W$6),)),--($G$6:$G$66=$G67))</f>
        <v>0</v>
      </c>
      <c r="X67" s="124" cm="1">
        <f t="array" aca="1" ref="X67" ca="1">SUMPRODUCT(SUBTOTAL(9,OFFSET(X$6,ROW(X$6:X$66)-ROW(X$6),)),--($G$6:$G$66=$G67))</f>
        <v>0</v>
      </c>
      <c r="Y67" s="124" cm="1">
        <f t="array" aca="1" ref="Y67" ca="1">SUMPRODUCT(SUBTOTAL(9,OFFSET(Y$6,ROW(Y$6:Y$66)-ROW(Y$6),)),--($G$6:$G$66=$G67))</f>
        <v>0</v>
      </c>
      <c r="Z67" s="124" cm="1">
        <f t="array" aca="1" ref="Z67" ca="1">SUMPRODUCT(SUBTOTAL(9,OFFSET(Z$6,ROW(Z$6:Z$66)-ROW(Z$6),)),--($G$6:$G$66=$G67))</f>
        <v>0</v>
      </c>
      <c r="AA67" s="124" cm="1">
        <f t="array" aca="1" ref="AA67" ca="1">SUMPRODUCT(SUBTOTAL(9,OFFSET(AA$6,ROW(AA$6:AA$66)-ROW(AA$6),)),--($G$6:$G$66=$G67))</f>
        <v>0</v>
      </c>
      <c r="AB67" s="124" cm="1">
        <f t="array" aca="1" ref="AB67" ca="1">SUMPRODUCT(SUBTOTAL(9,OFFSET(AB$6,ROW(AB$6:AB$66)-ROW(AB$6),)),--($G$6:$G$66=$G67))</f>
        <v>0</v>
      </c>
      <c r="AC67" s="124" cm="1">
        <f t="array" aca="1" ref="AC67" ca="1">SUMPRODUCT(SUBTOTAL(9,OFFSET(AC$6,ROW(AC$6:AC$66)-ROW(AC$6),)),--($G$6:$G$66=$G67))</f>
        <v>0</v>
      </c>
      <c r="AD67" s="124" cm="1">
        <f t="array" aca="1" ref="AD67" ca="1">SUMPRODUCT(SUBTOTAL(9,OFFSET(AD$6,ROW(AD$6:AD$66)-ROW(AD$6),)),--($G$6:$G$66=$G67))</f>
        <v>0</v>
      </c>
      <c r="AE67" s="124" cm="1">
        <f t="array" aca="1" ref="AE67" ca="1">SUMPRODUCT(SUBTOTAL(9,OFFSET(AE$6,ROW(AE$6:AE$66)-ROW(AE$6),)),--($G$6:$G$66=$G67))</f>
        <v>0</v>
      </c>
      <c r="AF67" s="124" cm="1">
        <f t="array" aca="1" ref="AF67" ca="1">SUMPRODUCT(SUBTOTAL(9,OFFSET(AF$6,ROW(AF$6:AF$66)-ROW(AF$6),)),--($G$6:$G$66=$G67))</f>
        <v>0</v>
      </c>
      <c r="AG67" s="124" cm="1">
        <f t="array" aca="1" ref="AG67" ca="1">SUMPRODUCT(SUBTOTAL(9,OFFSET(AG$6,ROW(AG$6:AG$66)-ROW(AG$6),)),--($G$6:$G$66=$G67))</f>
        <v>0</v>
      </c>
      <c r="AH67" s="124" cm="1">
        <f t="array" aca="1" ref="AH67" ca="1">SUMPRODUCT(SUBTOTAL(9,OFFSET(AH$6,ROW(AH$6:AH$66)-ROW(AH$6),)),--($G$6:$G$66=$G67))</f>
        <v>0</v>
      </c>
      <c r="AI67" s="124" cm="1">
        <f t="array" aca="1" ref="AI67" ca="1">SUMPRODUCT(SUBTOTAL(9,OFFSET(AI$6,ROW(AI$6:AI$66)-ROW(AI$6),)),--($G$6:$G$66=$G67))</f>
        <v>0</v>
      </c>
      <c r="AJ67" s="125" cm="1">
        <f t="array" aca="1" ref="AJ67" ca="1">SUMPRODUCT(SUBTOTAL(9,OFFSET(AJ$6,ROW(AJ$6:AJ$66)-ROW(AJ$6),)),--($G$6:$G$66=$G67))</f>
        <v>0</v>
      </c>
      <c r="AK67" s="125">
        <f t="shared" ref="AK67:AK69" ca="1" si="9">MAX(H67:AI67)</f>
        <v>0</v>
      </c>
      <c r="AL67" s="132">
        <f ca="1">IFERROR(AM67/AJ67,0)</f>
        <v>0</v>
      </c>
      <c r="AM67" s="133" cm="1">
        <f t="array" aca="1" ref="AM67" ca="1">SUMPRODUCT(SUBTOTAL(9,OFFSET(AM$6,ROW(AM$6:AM$66)-ROW(AM$6),)),--($G$6:$G$66=$G67))</f>
        <v>0</v>
      </c>
      <c r="AN67" s="111"/>
      <c r="AO67" s="112"/>
      <c r="AP67" s="61"/>
      <c r="AQ67" s="61"/>
      <c r="AR67" s="62"/>
    </row>
    <row r="68" spans="1:44" ht="15" customHeight="1" x14ac:dyDescent="0.25">
      <c r="A68" s="231" t="s">
        <v>88</v>
      </c>
      <c r="B68" s="232"/>
      <c r="C68" s="233" t="s">
        <v>112</v>
      </c>
      <c r="D68" s="233"/>
      <c r="E68" s="234"/>
      <c r="F68" s="229"/>
      <c r="G68" s="60" t="s">
        <v>65</v>
      </c>
      <c r="H68" s="124" cm="1">
        <f t="array" aca="1" ref="H68" ca="1">SUMPRODUCT(SUBTOTAL(9,OFFSET(H$6,ROW(H$6:H$66)-ROW(H$6),)),--($G$6:$G$66=$G68))</f>
        <v>0</v>
      </c>
      <c r="I68" s="124" cm="1">
        <f t="array" aca="1" ref="I68" ca="1">SUMPRODUCT(SUBTOTAL(9,OFFSET(I$6,ROW(I$6:I$66)-ROW(I$6),)),--($G$6:$G$66=$G68))</f>
        <v>0</v>
      </c>
      <c r="J68" s="124" cm="1">
        <f t="array" aca="1" ref="J68" ca="1">SUMPRODUCT(SUBTOTAL(9,OFFSET(J$6,ROW(J$6:J$66)-ROW(J$6),)),--($G$6:$G$66=$G68))</f>
        <v>0</v>
      </c>
      <c r="K68" s="124" cm="1">
        <f t="array" aca="1" ref="K68" ca="1">SUMPRODUCT(SUBTOTAL(9,OFFSET(K$6,ROW(K$6:K$66)-ROW(K$6),)),--($G$6:$G$66=$G68))</f>
        <v>0</v>
      </c>
      <c r="L68" s="124" cm="1">
        <f t="array" aca="1" ref="L68" ca="1">SUMPRODUCT(SUBTOTAL(9,OFFSET(L$6,ROW(L$6:L$66)-ROW(L$6),)),--($G$6:$G$66=$G68))</f>
        <v>0</v>
      </c>
      <c r="M68" s="124" cm="1">
        <f t="array" aca="1" ref="M68" ca="1">SUMPRODUCT(SUBTOTAL(9,OFFSET(M$6,ROW(M$6:M$66)-ROW(M$6),)),--($G$6:$G$66=$G68))</f>
        <v>0</v>
      </c>
      <c r="N68" s="124" cm="1">
        <f t="array" aca="1" ref="N68" ca="1">SUMPRODUCT(SUBTOTAL(9,OFFSET(N$6,ROW(N$6:N$66)-ROW(N$6),)),--($G$6:$G$66=$G68))</f>
        <v>0</v>
      </c>
      <c r="O68" s="124" cm="1">
        <f t="array" aca="1" ref="O68" ca="1">SUMPRODUCT(SUBTOTAL(9,OFFSET(O$6,ROW(O$6:O$66)-ROW(O$6),)),--($G$6:$G$66=$G68))</f>
        <v>1</v>
      </c>
      <c r="P68" s="124" cm="1">
        <f t="array" aca="1" ref="P68" ca="1">SUMPRODUCT(SUBTOTAL(9,OFFSET(P$6,ROW(P$6:P$66)-ROW(P$6),)),--($G$6:$G$66=$G68))</f>
        <v>2</v>
      </c>
      <c r="Q68" s="124" cm="1">
        <f t="array" aca="1" ref="Q68" ca="1">SUMPRODUCT(SUBTOTAL(9,OFFSET(Q$6,ROW(Q$6:Q$66)-ROW(Q$6),)),--($G$6:$G$66=$G68))</f>
        <v>3</v>
      </c>
      <c r="R68" s="124" cm="1">
        <f t="array" aca="1" ref="R68" ca="1">SUMPRODUCT(SUBTOTAL(9,OFFSET(R$6,ROW(R$6:R$66)-ROW(R$6),)),--($G$6:$G$66=$G68))</f>
        <v>3</v>
      </c>
      <c r="S68" s="124" cm="1">
        <f t="array" aca="1" ref="S68" ca="1">SUMPRODUCT(SUBTOTAL(9,OFFSET(S$6,ROW(S$6:S$66)-ROW(S$6),)),--($G$6:$G$66=$G68))</f>
        <v>2</v>
      </c>
      <c r="T68" s="124" cm="1">
        <f t="array" aca="1" ref="T68" ca="1">SUMPRODUCT(SUBTOTAL(9,OFFSET(T$6,ROW(T$6:T$66)-ROW(T$6),)),--($G$6:$G$66=$G68))</f>
        <v>2</v>
      </c>
      <c r="U68" s="124" cm="1">
        <f t="array" aca="1" ref="U68" ca="1">SUMPRODUCT(SUBTOTAL(9,OFFSET(U$6,ROW(U$6:U$66)-ROW(U$6),)),--($G$6:$G$66=$G68))</f>
        <v>1</v>
      </c>
      <c r="V68" s="124" cm="1">
        <f t="array" aca="1" ref="V68" ca="1">SUMPRODUCT(SUBTOTAL(9,OFFSET(V$6,ROW(V$6:V$66)-ROW(V$6),)),--($G$6:$G$66=$G68))</f>
        <v>0.5</v>
      </c>
      <c r="W68" s="124" cm="1">
        <f t="array" aca="1" ref="W68" ca="1">SUMPRODUCT(SUBTOTAL(9,OFFSET(W$6,ROW(W$6:W$66)-ROW(W$6),)),--($G$6:$G$66=$G68))</f>
        <v>0.3</v>
      </c>
      <c r="X68" s="124" cm="1">
        <f t="array" aca="1" ref="X68" ca="1">SUMPRODUCT(SUBTOTAL(9,OFFSET(X$6,ROW(X$6:X$66)-ROW(X$6),)),--($G$6:$G$66=$G68))</f>
        <v>0.3</v>
      </c>
      <c r="Y68" s="124" cm="1">
        <f t="array" aca="1" ref="Y68" ca="1">SUMPRODUCT(SUBTOTAL(9,OFFSET(Y$6,ROW(Y$6:Y$66)-ROW(Y$6),)),--($G$6:$G$66=$G68))</f>
        <v>0</v>
      </c>
      <c r="Z68" s="124" cm="1">
        <f t="array" aca="1" ref="Z68" ca="1">SUMPRODUCT(SUBTOTAL(9,OFFSET(Z$6,ROW(Z$6:Z$66)-ROW(Z$6),)),--($G$6:$G$66=$G68))</f>
        <v>0</v>
      </c>
      <c r="AA68" s="124" cm="1">
        <f t="array" aca="1" ref="AA68" ca="1">SUMPRODUCT(SUBTOTAL(9,OFFSET(AA$6,ROW(AA$6:AA$66)-ROW(AA$6),)),--($G$6:$G$66=$G68))</f>
        <v>0</v>
      </c>
      <c r="AB68" s="124" cm="1">
        <f t="array" aca="1" ref="AB68" ca="1">SUMPRODUCT(SUBTOTAL(9,OFFSET(AB$6,ROW(AB$6:AB$66)-ROW(AB$6),)),--($G$6:$G$66=$G68))</f>
        <v>0</v>
      </c>
      <c r="AC68" s="124" cm="1">
        <f t="array" aca="1" ref="AC68" ca="1">SUMPRODUCT(SUBTOTAL(9,OFFSET(AC$6,ROW(AC$6:AC$66)-ROW(AC$6),)),--($G$6:$G$66=$G68))</f>
        <v>0</v>
      </c>
      <c r="AD68" s="124" cm="1">
        <f t="array" aca="1" ref="AD68" ca="1">SUMPRODUCT(SUBTOTAL(9,OFFSET(AD$6,ROW(AD$6:AD$66)-ROW(AD$6),)),--($G$6:$G$66=$G68))</f>
        <v>0</v>
      </c>
      <c r="AE68" s="124" cm="1">
        <f t="array" aca="1" ref="AE68" ca="1">SUMPRODUCT(SUBTOTAL(9,OFFSET(AE$6,ROW(AE$6:AE$66)-ROW(AE$6),)),--($G$6:$G$66=$G68))</f>
        <v>0</v>
      </c>
      <c r="AF68" s="124" cm="1">
        <f t="array" aca="1" ref="AF68" ca="1">SUMPRODUCT(SUBTOTAL(9,OFFSET(AF$6,ROW(AF$6:AF$66)-ROW(AF$6),)),--($G$6:$G$66=$G68))</f>
        <v>0</v>
      </c>
      <c r="AG68" s="124" cm="1">
        <f t="array" aca="1" ref="AG68" ca="1">SUMPRODUCT(SUBTOTAL(9,OFFSET(AG$6,ROW(AG$6:AG$66)-ROW(AG$6),)),--($G$6:$G$66=$G68))</f>
        <v>0</v>
      </c>
      <c r="AH68" s="124" cm="1">
        <f t="array" aca="1" ref="AH68" ca="1">SUMPRODUCT(SUBTOTAL(9,OFFSET(AH$6,ROW(AH$6:AH$66)-ROW(AH$6),)),--($G$6:$G$66=$G68))</f>
        <v>0</v>
      </c>
      <c r="AI68" s="124" cm="1">
        <f t="array" aca="1" ref="AI68" ca="1">SUMPRODUCT(SUBTOTAL(9,OFFSET(AI$6,ROW(AI$6:AI$66)-ROW(AI$6),)),--($G$6:$G$66=$G68))</f>
        <v>0</v>
      </c>
      <c r="AJ68" s="125" cm="1">
        <f t="array" aca="1" ref="AJ68" ca="1">SUMPRODUCT(SUBTOTAL(9,OFFSET(AJ$6,ROW(AJ$6:AJ$66)-ROW(AJ$6),)),--($G$6:$G$66=$G68))</f>
        <v>15.1</v>
      </c>
      <c r="AK68" s="125">
        <f t="shared" ca="1" si="9"/>
        <v>3</v>
      </c>
      <c r="AL68" s="134">
        <f ca="1">IFERROR(AM68/AJ68,0)</f>
        <v>30138.249515086281</v>
      </c>
      <c r="AM68" s="133" cm="1">
        <f t="array" aca="1" ref="AM68" ca="1">SUMPRODUCT(SUBTOTAL(9,OFFSET(AM$6,ROW(AM$6:AM$66)-ROW(AM$6),)),--($G$6:$G$66=$G68))</f>
        <v>455087.56767780281</v>
      </c>
      <c r="AN68" s="113"/>
      <c r="AO68" s="114"/>
      <c r="AP68" s="61"/>
      <c r="AQ68" s="61"/>
      <c r="AR68" s="62"/>
    </row>
    <row r="69" spans="1:44" ht="15" customHeight="1" x14ac:dyDescent="0.25">
      <c r="A69" s="231"/>
      <c r="B69" s="232"/>
      <c r="C69" s="237" t="s">
        <v>113</v>
      </c>
      <c r="D69" s="237"/>
      <c r="E69" s="238"/>
      <c r="F69" s="230"/>
      <c r="G69" s="60" t="s">
        <v>114</v>
      </c>
      <c r="H69" s="125">
        <f t="shared" ref="H69:AJ69" ca="1" si="10">SUM(H67:H68)</f>
        <v>0</v>
      </c>
      <c r="I69" s="125">
        <f t="shared" ca="1" si="10"/>
        <v>0</v>
      </c>
      <c r="J69" s="125">
        <f t="shared" ca="1" si="10"/>
        <v>0</v>
      </c>
      <c r="K69" s="125">
        <f t="shared" ca="1" si="10"/>
        <v>0</v>
      </c>
      <c r="L69" s="125">
        <f t="shared" ca="1" si="10"/>
        <v>0</v>
      </c>
      <c r="M69" s="125">
        <f t="shared" ca="1" si="10"/>
        <v>0</v>
      </c>
      <c r="N69" s="125">
        <f t="shared" ca="1" si="10"/>
        <v>0</v>
      </c>
      <c r="O69" s="125">
        <f t="shared" ca="1" si="10"/>
        <v>1</v>
      </c>
      <c r="P69" s="125">
        <f t="shared" ca="1" si="10"/>
        <v>2</v>
      </c>
      <c r="Q69" s="125">
        <f t="shared" ca="1" si="10"/>
        <v>3</v>
      </c>
      <c r="R69" s="125">
        <f t="shared" ca="1" si="10"/>
        <v>3</v>
      </c>
      <c r="S69" s="125">
        <f t="shared" ca="1" si="10"/>
        <v>2</v>
      </c>
      <c r="T69" s="125">
        <f t="shared" ca="1" si="10"/>
        <v>2</v>
      </c>
      <c r="U69" s="125">
        <f t="shared" ca="1" si="10"/>
        <v>1</v>
      </c>
      <c r="V69" s="125">
        <f t="shared" ca="1" si="10"/>
        <v>0.5</v>
      </c>
      <c r="W69" s="125">
        <f t="shared" ca="1" si="10"/>
        <v>0.3</v>
      </c>
      <c r="X69" s="125">
        <f t="shared" ca="1" si="10"/>
        <v>0.3</v>
      </c>
      <c r="Y69" s="125">
        <f t="shared" ca="1" si="10"/>
        <v>0</v>
      </c>
      <c r="Z69" s="125">
        <f t="shared" ca="1" si="10"/>
        <v>0</v>
      </c>
      <c r="AA69" s="125">
        <f t="shared" ca="1" si="10"/>
        <v>0</v>
      </c>
      <c r="AB69" s="125">
        <f t="shared" ca="1" si="10"/>
        <v>0</v>
      </c>
      <c r="AC69" s="125">
        <f t="shared" ca="1" si="10"/>
        <v>0</v>
      </c>
      <c r="AD69" s="125">
        <f t="shared" ca="1" si="10"/>
        <v>0</v>
      </c>
      <c r="AE69" s="125">
        <f t="shared" ca="1" si="10"/>
        <v>0</v>
      </c>
      <c r="AF69" s="125">
        <f t="shared" ca="1" si="10"/>
        <v>0</v>
      </c>
      <c r="AG69" s="125">
        <f t="shared" ca="1" si="10"/>
        <v>0</v>
      </c>
      <c r="AH69" s="125">
        <f t="shared" ca="1" si="10"/>
        <v>0</v>
      </c>
      <c r="AI69" s="125">
        <f t="shared" ca="1" si="10"/>
        <v>0</v>
      </c>
      <c r="AJ69" s="125">
        <f t="shared" ca="1" si="10"/>
        <v>15.1</v>
      </c>
      <c r="AK69" s="125">
        <f t="shared" ca="1" si="9"/>
        <v>3</v>
      </c>
      <c r="AL69" s="134">
        <f ca="1">IFERROR(AM69/AJ69,0)</f>
        <v>30138.249515086281</v>
      </c>
      <c r="AM69" s="133">
        <f ca="1">SUM(AM67:AM68)</f>
        <v>455087.56767780281</v>
      </c>
      <c r="AN69" s="113"/>
      <c r="AO69" s="114"/>
      <c r="AP69" s="61"/>
      <c r="AQ69" s="61"/>
      <c r="AR69" s="62"/>
    </row>
    <row r="70" spans="1:44" x14ac:dyDescent="0.25">
      <c r="A70" s="161"/>
      <c r="B70" s="162"/>
      <c r="C70" s="237"/>
      <c r="D70" s="237"/>
      <c r="E70" s="238"/>
      <c r="F70" s="239" t="s">
        <v>115</v>
      </c>
      <c r="G70" s="63" t="s">
        <v>88</v>
      </c>
      <c r="H70" s="126" cm="1">
        <f t="array" aca="1" ref="H70" ca="1">SUMPRODUCT(SUBTOTAL(9,OFFSET(H$6,ROW(H$6:H$66)-ROW(H$6),)),--($G$6:$G$66=$G67),$AL$6:$AL$66)</f>
        <v>0</v>
      </c>
      <c r="I70" s="126" cm="1">
        <f t="array" aca="1" ref="I70" ca="1">SUMPRODUCT(SUBTOTAL(9,OFFSET(I$6,ROW(I$6:I$66)-ROW(I$6),)),--($G$6:$G$66=$G67),$AL$6:$AL$66)</f>
        <v>0</v>
      </c>
      <c r="J70" s="126" cm="1">
        <f t="array" aca="1" ref="J70" ca="1">SUMPRODUCT(SUBTOTAL(9,OFFSET(J$6,ROW(J$6:J$66)-ROW(J$6),)),--($G$6:$G$66=$G67),$AL$6:$AL$66)</f>
        <v>0</v>
      </c>
      <c r="K70" s="126" cm="1">
        <f t="array" aca="1" ref="K70" ca="1">SUMPRODUCT(SUBTOTAL(9,OFFSET(K$6,ROW(K$6:K$66)-ROW(K$6),)),--($G$6:$G$66=$G67),$AL$6:$AL$66)</f>
        <v>0</v>
      </c>
      <c r="L70" s="126" cm="1">
        <f t="array" aca="1" ref="L70" ca="1">SUMPRODUCT(SUBTOTAL(9,OFFSET(L$6,ROW(L$6:L$66)-ROW(L$6),)),--($G$6:$G$66=$G67),$AL$6:$AL$66)</f>
        <v>0</v>
      </c>
      <c r="M70" s="126" cm="1">
        <f t="array" aca="1" ref="M70" ca="1">SUMPRODUCT(SUBTOTAL(9,OFFSET(M$6,ROW(M$6:M$66)-ROW(M$6),)),--($G$6:$G$66=$G67),$AL$6:$AL$66)</f>
        <v>0</v>
      </c>
      <c r="N70" s="126" cm="1">
        <f t="array" aca="1" ref="N70" ca="1">SUMPRODUCT(SUBTOTAL(9,OFFSET(N$6,ROW(N$6:N$66)-ROW(N$6),)),--($G$6:$G$66=$G67),$AL$6:$AL$66)</f>
        <v>0</v>
      </c>
      <c r="O70" s="126" cm="1">
        <f t="array" aca="1" ref="O70" ca="1">SUMPRODUCT(SUBTOTAL(9,OFFSET(O$6,ROW(O$6:O$66)-ROW(O$6),)),--($G$6:$G$66=$G67),$AL$6:$AL$66)</f>
        <v>0</v>
      </c>
      <c r="P70" s="126" cm="1">
        <f t="array" aca="1" ref="P70" ca="1">SUMPRODUCT(SUBTOTAL(9,OFFSET(P$6,ROW(P$6:P$66)-ROW(P$6),)),--($G$6:$G$66=$G67),$AL$6:$AL$66)</f>
        <v>0</v>
      </c>
      <c r="Q70" s="126" cm="1">
        <f t="array" aca="1" ref="Q70" ca="1">SUMPRODUCT(SUBTOTAL(9,OFFSET(Q$6,ROW(Q$6:Q$66)-ROW(Q$6),)),--($G$6:$G$66=$G67),$AL$6:$AL$66)</f>
        <v>0</v>
      </c>
      <c r="R70" s="126" cm="1">
        <f t="array" aca="1" ref="R70" ca="1">SUMPRODUCT(SUBTOTAL(9,OFFSET(R$6,ROW(R$6:R$66)-ROW(R$6),)),--($G$6:$G$66=$G67),$AL$6:$AL$66)</f>
        <v>0</v>
      </c>
      <c r="S70" s="126" cm="1">
        <f t="array" aca="1" ref="S70" ca="1">SUMPRODUCT(SUBTOTAL(9,OFFSET(S$6,ROW(S$6:S$66)-ROW(S$6),)),--($G$6:$G$66=$G67),$AL$6:$AL$66)</f>
        <v>0</v>
      </c>
      <c r="T70" s="126" cm="1">
        <f t="array" aca="1" ref="T70" ca="1">SUMPRODUCT(SUBTOTAL(9,OFFSET(T$6,ROW(T$6:T$66)-ROW(T$6),)),--($G$6:$G$66=$G67),$AL$6:$AL$66)</f>
        <v>0</v>
      </c>
      <c r="U70" s="126" cm="1">
        <f t="array" aca="1" ref="U70" ca="1">SUMPRODUCT(SUBTOTAL(9,OFFSET(U$6,ROW(U$6:U$66)-ROW(U$6),)),--($G$6:$G$66=$G67),$AL$6:$AL$66)</f>
        <v>0</v>
      </c>
      <c r="V70" s="126" cm="1">
        <f t="array" aca="1" ref="V70" ca="1">SUMPRODUCT(SUBTOTAL(9,OFFSET(V$6,ROW(V$6:V$66)-ROW(V$6),)),--($G$6:$G$66=$G67),$AL$6:$AL$66)</f>
        <v>0</v>
      </c>
      <c r="W70" s="126" cm="1">
        <f t="array" aca="1" ref="W70" ca="1">SUMPRODUCT(SUBTOTAL(9,OFFSET(W$6,ROW(W$6:W$66)-ROW(W$6),)),--($G$6:$G$66=$G67),$AL$6:$AL$66)</f>
        <v>0</v>
      </c>
      <c r="X70" s="126" cm="1">
        <f t="array" aca="1" ref="X70" ca="1">SUMPRODUCT(SUBTOTAL(9,OFFSET(X$6,ROW(X$6:X$66)-ROW(X$6),)),--($G$6:$G$66=$G67),$AL$6:$AL$66)</f>
        <v>0</v>
      </c>
      <c r="Y70" s="126" cm="1">
        <f t="array" aca="1" ref="Y70" ca="1">SUMPRODUCT(SUBTOTAL(9,OFFSET(Y$6,ROW(Y$6:Y$66)-ROW(Y$6),)),--($G$6:$G$66=$G67),$AL$6:$AL$66)</f>
        <v>0</v>
      </c>
      <c r="Z70" s="126" cm="1">
        <f t="array" aca="1" ref="Z70" ca="1">SUMPRODUCT(SUBTOTAL(9,OFFSET(Z$6,ROW(Z$6:Z$66)-ROW(Z$6),)),--($G$6:$G$66=$G67),$AL$6:$AL$66)</f>
        <v>0</v>
      </c>
      <c r="AA70" s="126" cm="1">
        <f t="array" aca="1" ref="AA70" ca="1">SUMPRODUCT(SUBTOTAL(9,OFFSET(AA$6,ROW(AA$6:AA$66)-ROW(AA$6),)),--($G$6:$G$66=$G67),$AL$6:$AL$66)</f>
        <v>0</v>
      </c>
      <c r="AB70" s="126" cm="1">
        <f t="array" aca="1" ref="AB70" ca="1">SUMPRODUCT(SUBTOTAL(9,OFFSET(AB$6,ROW(AB$6:AB$66)-ROW(AB$6),)),--($G$6:$G$66=$G67),$AL$6:$AL$66)</f>
        <v>0</v>
      </c>
      <c r="AC70" s="126" cm="1">
        <f t="array" aca="1" ref="AC70" ca="1">SUMPRODUCT(SUBTOTAL(9,OFFSET(AC$6,ROW(AC$6:AC$66)-ROW(AC$6),)),--($G$6:$G$66=$G67),$AL$6:$AL$66)</f>
        <v>0</v>
      </c>
      <c r="AD70" s="126" cm="1">
        <f t="array" aca="1" ref="AD70" ca="1">SUMPRODUCT(SUBTOTAL(9,OFFSET(AD$6,ROW(AD$6:AD$66)-ROW(AD$6),)),--($G$6:$G$66=$G67),$AL$6:$AL$66)</f>
        <v>0</v>
      </c>
      <c r="AE70" s="126" cm="1">
        <f t="array" aca="1" ref="AE70" ca="1">SUMPRODUCT(SUBTOTAL(9,OFFSET(AE$6,ROW(AE$6:AE$66)-ROW(AE$6),)),--($G$6:$G$66=$G67),$AL$6:$AL$66)</f>
        <v>0</v>
      </c>
      <c r="AF70" s="126" cm="1">
        <f t="array" aca="1" ref="AF70" ca="1">SUMPRODUCT(SUBTOTAL(9,OFFSET(AF$6,ROW(AF$6:AF$66)-ROW(AF$6),)),--($G$6:$G$66=$G67),$AL$6:$AL$66)</f>
        <v>0</v>
      </c>
      <c r="AG70" s="126" cm="1">
        <f t="array" aca="1" ref="AG70" ca="1">SUMPRODUCT(SUBTOTAL(9,OFFSET(AG$6,ROW(AG$6:AG$66)-ROW(AG$6),)),--($G$6:$G$66=$G67),$AL$6:$AL$66)</f>
        <v>0</v>
      </c>
      <c r="AH70" s="126" cm="1">
        <f t="array" aca="1" ref="AH70" ca="1">SUMPRODUCT(SUBTOTAL(9,OFFSET(AH$6,ROW(AH$6:AH$66)-ROW(AH$6),)),--($G$6:$G$66=$G67),$AL$6:$AL$66)</f>
        <v>0</v>
      </c>
      <c r="AI70" s="126" cm="1">
        <f t="array" aca="1" ref="AI70" ca="1">SUMPRODUCT(SUBTOTAL(9,OFFSET(AI$6,ROW(AI$6:AI$66)-ROW(AI$6),)),--($G$6:$G$66=$G67),$AL$6:$AL$66)</f>
        <v>0</v>
      </c>
      <c r="AJ70" s="149"/>
      <c r="AK70" s="149"/>
      <c r="AL70" s="135"/>
      <c r="AM70" s="136">
        <f ca="1">SUM(H70:AI70)</f>
        <v>0</v>
      </c>
      <c r="AN70" s="113"/>
      <c r="AO70" s="114"/>
    </row>
    <row r="71" spans="1:44" x14ac:dyDescent="0.25">
      <c r="A71" s="231" t="s">
        <v>65</v>
      </c>
      <c r="B71" s="232"/>
      <c r="C71" s="233" t="s">
        <v>116</v>
      </c>
      <c r="D71" s="233"/>
      <c r="E71" s="234"/>
      <c r="F71" s="240"/>
      <c r="G71" s="63" t="s">
        <v>65</v>
      </c>
      <c r="H71" s="126" cm="1">
        <f t="array" aca="1" ref="H71" ca="1">SUMPRODUCT(SUBTOTAL(9,OFFSET(H$6,ROW(H$6:H$66)-ROW(H$6),)),--($G$6:$G$66=$G68),$AL$6:$AL$66)</f>
        <v>0</v>
      </c>
      <c r="I71" s="126" cm="1">
        <f t="array" aca="1" ref="I71" ca="1">SUMPRODUCT(SUBTOTAL(9,OFFSET(I$6,ROW(I$6:I$66)-ROW(I$6),)),--($G$6:$G$66=$G68),$AL$6:$AL$66)</f>
        <v>0</v>
      </c>
      <c r="J71" s="126" cm="1">
        <f t="array" aca="1" ref="J71" ca="1">SUMPRODUCT(SUBTOTAL(9,OFFSET(J$6,ROW(J$6:J$66)-ROW(J$6),)),--($G$6:$G$66=$G68),$AL$6:$AL$66)</f>
        <v>0</v>
      </c>
      <c r="K71" s="126" cm="1">
        <f t="array" aca="1" ref="K71" ca="1">SUMPRODUCT(SUBTOTAL(9,OFFSET(K$6,ROW(K$6:K$66)-ROW(K$6),)),--($G$6:$G$66=$G68),$AL$6:$AL$66)</f>
        <v>0</v>
      </c>
      <c r="L71" s="126" cm="1">
        <f t="array" aca="1" ref="L71" ca="1">SUMPRODUCT(SUBTOTAL(9,OFFSET(L$6,ROW(L$6:L$66)-ROW(L$6),)),--($G$6:$G$66=$G68),$AL$6:$AL$66)</f>
        <v>0</v>
      </c>
      <c r="M71" s="126" cm="1">
        <f t="array" aca="1" ref="M71" ca="1">SUMPRODUCT(SUBTOTAL(9,OFFSET(M$6,ROW(M$6:M$66)-ROW(M$6),)),--($G$6:$G$66=$G68),$AL$6:$AL$66)</f>
        <v>0</v>
      </c>
      <c r="N71" s="126" cm="1">
        <f t="array" aca="1" ref="N71" ca="1">SUMPRODUCT(SUBTOTAL(9,OFFSET(N$6,ROW(N$6:N$66)-ROW(N$6),)),--($G$6:$G$66=$G68),$AL$6:$AL$66)</f>
        <v>0</v>
      </c>
      <c r="O71" s="126" cm="1">
        <f t="array" aca="1" ref="O71" ca="1">SUMPRODUCT(SUBTOTAL(9,OFFSET(O$6,ROW(O$6:O$66)-ROW(O$6),)),--($G$6:$G$66=$G68),$AL$6:$AL$66)</f>
        <v>30138.249515086281</v>
      </c>
      <c r="P71" s="126" cm="1">
        <f t="array" aca="1" ref="P71" ca="1">SUMPRODUCT(SUBTOTAL(9,OFFSET(P$6,ROW(P$6:P$66)-ROW(P$6),)),--($G$6:$G$66=$G68),$AL$6:$AL$66)</f>
        <v>60276.499030172563</v>
      </c>
      <c r="Q71" s="126" cm="1">
        <f t="array" aca="1" ref="Q71" ca="1">SUMPRODUCT(SUBTOTAL(9,OFFSET(Q$6,ROW(Q$6:Q$66)-ROW(Q$6),)),--($G$6:$G$66=$G68),$AL$6:$AL$66)</f>
        <v>90414.748545258859</v>
      </c>
      <c r="R71" s="126" cm="1">
        <f t="array" aca="1" ref="R71" ca="1">SUMPRODUCT(SUBTOTAL(9,OFFSET(R$6,ROW(R$6:R$66)-ROW(R$6),)),--($G$6:$G$66=$G68),$AL$6:$AL$66)</f>
        <v>90414.748545258859</v>
      </c>
      <c r="S71" s="126" cm="1">
        <f t="array" aca="1" ref="S71" ca="1">SUMPRODUCT(SUBTOTAL(9,OFFSET(S$6,ROW(S$6:S$66)-ROW(S$6),)),--($G$6:$G$66=$G68),$AL$6:$AL$66)</f>
        <v>60276.499030172563</v>
      </c>
      <c r="T71" s="126" cm="1">
        <f t="array" aca="1" ref="T71" ca="1">SUMPRODUCT(SUBTOTAL(9,OFFSET(T$6,ROW(T$6:T$66)-ROW(T$6),)),--($G$6:$G$66=$G68),$AL$6:$AL$66)</f>
        <v>60276.499030172563</v>
      </c>
      <c r="U71" s="126" cm="1">
        <f t="array" aca="1" ref="U71" ca="1">SUMPRODUCT(SUBTOTAL(9,OFFSET(U$6,ROW(U$6:U$66)-ROW(U$6),)),--($G$6:$G$66=$G68),$AL$6:$AL$66)</f>
        <v>30138.249515086281</v>
      </c>
      <c r="V71" s="126" cm="1">
        <f t="array" aca="1" ref="V71" ca="1">SUMPRODUCT(SUBTOTAL(9,OFFSET(V$6,ROW(V$6:V$66)-ROW(V$6),)),--($G$6:$G$66=$G68),$AL$6:$AL$66)</f>
        <v>15069.124757543141</v>
      </c>
      <c r="W71" s="126" cm="1">
        <f t="array" aca="1" ref="W71" ca="1">SUMPRODUCT(SUBTOTAL(9,OFFSET(W$6,ROW(W$6:W$66)-ROW(W$6),)),--($G$6:$G$66=$G68),$AL$6:$AL$66)</f>
        <v>9041.4748545258844</v>
      </c>
      <c r="X71" s="126" cm="1">
        <f t="array" aca="1" ref="X71" ca="1">SUMPRODUCT(SUBTOTAL(9,OFFSET(X$6,ROW(X$6:X$66)-ROW(X$6),)),--($G$6:$G$66=$G68),$AL$6:$AL$66)</f>
        <v>9041.4748545258844</v>
      </c>
      <c r="Y71" s="126" cm="1">
        <f t="array" aca="1" ref="Y71" ca="1">SUMPRODUCT(SUBTOTAL(9,OFFSET(Y$6,ROW(Y$6:Y$66)-ROW(Y$6),)),--($G$6:$G$66=$G68),$AL$6:$AL$66)</f>
        <v>0</v>
      </c>
      <c r="Z71" s="126" cm="1">
        <f t="array" aca="1" ref="Z71" ca="1">SUMPRODUCT(SUBTOTAL(9,OFFSET(Z$6,ROW(Z$6:Z$66)-ROW(Z$6),)),--($G$6:$G$66=$G68),$AL$6:$AL$66)</f>
        <v>0</v>
      </c>
      <c r="AA71" s="126" cm="1">
        <f t="array" aca="1" ref="AA71" ca="1">SUMPRODUCT(SUBTOTAL(9,OFFSET(AA$6,ROW(AA$6:AA$66)-ROW(AA$6),)),--($G$6:$G$66=$G68),$AL$6:$AL$66)</f>
        <v>0</v>
      </c>
      <c r="AB71" s="126" cm="1">
        <f t="array" aca="1" ref="AB71" ca="1">SUMPRODUCT(SUBTOTAL(9,OFFSET(AB$6,ROW(AB$6:AB$66)-ROW(AB$6),)),--($G$6:$G$66=$G68),$AL$6:$AL$66)</f>
        <v>0</v>
      </c>
      <c r="AC71" s="126" cm="1">
        <f t="array" aca="1" ref="AC71" ca="1">SUMPRODUCT(SUBTOTAL(9,OFFSET(AC$6,ROW(AC$6:AC$66)-ROW(AC$6),)),--($G$6:$G$66=$G68),$AL$6:$AL$66)</f>
        <v>0</v>
      </c>
      <c r="AD71" s="126" cm="1">
        <f t="array" aca="1" ref="AD71" ca="1">SUMPRODUCT(SUBTOTAL(9,OFFSET(AD$6,ROW(AD$6:AD$66)-ROW(AD$6),)),--($G$6:$G$66=$G68),$AL$6:$AL$66)</f>
        <v>0</v>
      </c>
      <c r="AE71" s="126" cm="1">
        <f t="array" aca="1" ref="AE71" ca="1">SUMPRODUCT(SUBTOTAL(9,OFFSET(AE$6,ROW(AE$6:AE$66)-ROW(AE$6),)),--($G$6:$G$66=$G68),$AL$6:$AL$66)</f>
        <v>0</v>
      </c>
      <c r="AF71" s="126" cm="1">
        <f t="array" aca="1" ref="AF71" ca="1">SUMPRODUCT(SUBTOTAL(9,OFFSET(AF$6,ROW(AF$6:AF$66)-ROW(AF$6),)),--($G$6:$G$66=$G68),$AL$6:$AL$66)</f>
        <v>0</v>
      </c>
      <c r="AG71" s="126" cm="1">
        <f t="array" aca="1" ref="AG71" ca="1">SUMPRODUCT(SUBTOTAL(9,OFFSET(AG$6,ROW(AG$6:AG$66)-ROW(AG$6),)),--($G$6:$G$66=$G68),$AL$6:$AL$66)</f>
        <v>0</v>
      </c>
      <c r="AH71" s="126" cm="1">
        <f t="array" aca="1" ref="AH71" ca="1">SUMPRODUCT(SUBTOTAL(9,OFFSET(AH$6,ROW(AH$6:AH$66)-ROW(AH$6),)),--($G$6:$G$66=$G68),$AL$6:$AL$66)</f>
        <v>0</v>
      </c>
      <c r="AI71" s="126" cm="1">
        <f t="array" aca="1" ref="AI71" ca="1">SUMPRODUCT(SUBTOTAL(9,OFFSET(AI$6,ROW(AI$6:AI$66)-ROW(AI$6),)),--($G$6:$G$66=$G68),$AL$6:$AL$66)</f>
        <v>0</v>
      </c>
      <c r="AJ71" s="149"/>
      <c r="AK71" s="149"/>
      <c r="AL71" s="135"/>
      <c r="AM71" s="136">
        <f ca="1">SUM(H71:AI71)</f>
        <v>455087.56767780293</v>
      </c>
      <c r="AN71" s="113"/>
      <c r="AO71" s="114"/>
    </row>
    <row r="72" spans="1:44" x14ac:dyDescent="0.25">
      <c r="A72" s="160"/>
      <c r="B72" s="159"/>
      <c r="C72" s="237" t="s">
        <v>117</v>
      </c>
      <c r="D72" s="237"/>
      <c r="E72" s="238"/>
      <c r="F72" s="241"/>
      <c r="G72" s="63" t="s">
        <v>114</v>
      </c>
      <c r="H72" s="126">
        <f t="shared" ref="H72:AI72" ca="1" si="11">SUM(H70:H71)</f>
        <v>0</v>
      </c>
      <c r="I72" s="126">
        <f t="shared" ca="1" si="11"/>
        <v>0</v>
      </c>
      <c r="J72" s="126">
        <f t="shared" ca="1" si="11"/>
        <v>0</v>
      </c>
      <c r="K72" s="126">
        <f t="shared" ca="1" si="11"/>
        <v>0</v>
      </c>
      <c r="L72" s="126">
        <f t="shared" ca="1" si="11"/>
        <v>0</v>
      </c>
      <c r="M72" s="126">
        <f t="shared" ca="1" si="11"/>
        <v>0</v>
      </c>
      <c r="N72" s="126">
        <f t="shared" ca="1" si="11"/>
        <v>0</v>
      </c>
      <c r="O72" s="126">
        <f t="shared" ca="1" si="11"/>
        <v>30138.249515086281</v>
      </c>
      <c r="P72" s="126">
        <f t="shared" ca="1" si="11"/>
        <v>60276.499030172563</v>
      </c>
      <c r="Q72" s="126">
        <f t="shared" ca="1" si="11"/>
        <v>90414.748545258859</v>
      </c>
      <c r="R72" s="126">
        <f t="shared" ca="1" si="11"/>
        <v>90414.748545258859</v>
      </c>
      <c r="S72" s="126">
        <f t="shared" ca="1" si="11"/>
        <v>60276.499030172563</v>
      </c>
      <c r="T72" s="126">
        <f t="shared" ca="1" si="11"/>
        <v>60276.499030172563</v>
      </c>
      <c r="U72" s="126">
        <f t="shared" ca="1" si="11"/>
        <v>30138.249515086281</v>
      </c>
      <c r="V72" s="126">
        <f t="shared" ca="1" si="11"/>
        <v>15069.124757543141</v>
      </c>
      <c r="W72" s="126">
        <f t="shared" ca="1" si="11"/>
        <v>9041.4748545258844</v>
      </c>
      <c r="X72" s="126">
        <f t="shared" ca="1" si="11"/>
        <v>9041.4748545258844</v>
      </c>
      <c r="Y72" s="126">
        <f t="shared" ca="1" si="11"/>
        <v>0</v>
      </c>
      <c r="Z72" s="126">
        <f t="shared" ca="1" si="11"/>
        <v>0</v>
      </c>
      <c r="AA72" s="126">
        <f t="shared" ca="1" si="11"/>
        <v>0</v>
      </c>
      <c r="AB72" s="126">
        <f t="shared" ca="1" si="11"/>
        <v>0</v>
      </c>
      <c r="AC72" s="126">
        <f t="shared" ca="1" si="11"/>
        <v>0</v>
      </c>
      <c r="AD72" s="126">
        <f t="shared" ca="1" si="11"/>
        <v>0</v>
      </c>
      <c r="AE72" s="126">
        <f t="shared" ca="1" si="11"/>
        <v>0</v>
      </c>
      <c r="AF72" s="126">
        <f t="shared" ca="1" si="11"/>
        <v>0</v>
      </c>
      <c r="AG72" s="126">
        <f t="shared" ca="1" si="11"/>
        <v>0</v>
      </c>
      <c r="AH72" s="126">
        <f t="shared" ca="1" si="11"/>
        <v>0</v>
      </c>
      <c r="AI72" s="126">
        <f t="shared" ca="1" si="11"/>
        <v>0</v>
      </c>
      <c r="AJ72" s="149"/>
      <c r="AK72" s="149"/>
      <c r="AL72" s="135"/>
      <c r="AM72" s="136">
        <f ca="1">SUM(H72:AI72)</f>
        <v>455087.56767780293</v>
      </c>
      <c r="AN72" s="113"/>
      <c r="AO72" s="114"/>
    </row>
    <row r="73" spans="1:44" ht="15" hidden="1" customHeight="1" outlineLevel="1" x14ac:dyDescent="0.25">
      <c r="A73" s="113"/>
      <c r="B73" s="115"/>
      <c r="C73" s="115"/>
      <c r="D73" s="115"/>
      <c r="E73" s="114"/>
      <c r="F73" s="235" t="s">
        <v>118</v>
      </c>
      <c r="G73" s="86" t="s">
        <v>119</v>
      </c>
      <c r="H73" s="145">
        <f ca="1">H68</f>
        <v>0</v>
      </c>
      <c r="I73" s="145">
        <f ca="1">I68-H68</f>
        <v>0</v>
      </c>
      <c r="J73" s="145">
        <f t="shared" ref="J73:AI73" ca="1" si="12">J68-I68</f>
        <v>0</v>
      </c>
      <c r="K73" s="145">
        <f t="shared" ca="1" si="12"/>
        <v>0</v>
      </c>
      <c r="L73" s="145">
        <f t="shared" ca="1" si="12"/>
        <v>0</v>
      </c>
      <c r="M73" s="145">
        <f t="shared" ca="1" si="12"/>
        <v>0</v>
      </c>
      <c r="N73" s="145">
        <f t="shared" ca="1" si="12"/>
        <v>0</v>
      </c>
      <c r="O73" s="145">
        <f t="shared" ca="1" si="12"/>
        <v>1</v>
      </c>
      <c r="P73" s="145">
        <f t="shared" ca="1" si="12"/>
        <v>1</v>
      </c>
      <c r="Q73" s="145">
        <f t="shared" ca="1" si="12"/>
        <v>1</v>
      </c>
      <c r="R73" s="145">
        <f t="shared" ca="1" si="12"/>
        <v>0</v>
      </c>
      <c r="S73" s="145">
        <f t="shared" ca="1" si="12"/>
        <v>-1</v>
      </c>
      <c r="T73" s="145">
        <f t="shared" ca="1" si="12"/>
        <v>0</v>
      </c>
      <c r="U73" s="145">
        <f t="shared" ca="1" si="12"/>
        <v>-1</v>
      </c>
      <c r="V73" s="145">
        <f t="shared" ca="1" si="12"/>
        <v>-0.5</v>
      </c>
      <c r="W73" s="145">
        <f t="shared" ca="1" si="12"/>
        <v>-0.2</v>
      </c>
      <c r="X73" s="145">
        <f t="shared" ca="1" si="12"/>
        <v>0</v>
      </c>
      <c r="Y73" s="145">
        <f t="shared" ca="1" si="12"/>
        <v>-0.3</v>
      </c>
      <c r="Z73" s="145">
        <f t="shared" ca="1" si="12"/>
        <v>0</v>
      </c>
      <c r="AA73" s="145">
        <f t="shared" ca="1" si="12"/>
        <v>0</v>
      </c>
      <c r="AB73" s="145">
        <f t="shared" ca="1" si="12"/>
        <v>0</v>
      </c>
      <c r="AC73" s="145">
        <f t="shared" ca="1" si="12"/>
        <v>0</v>
      </c>
      <c r="AD73" s="145">
        <f t="shared" ca="1" si="12"/>
        <v>0</v>
      </c>
      <c r="AE73" s="145">
        <f t="shared" ca="1" si="12"/>
        <v>0</v>
      </c>
      <c r="AF73" s="145">
        <f t="shared" ca="1" si="12"/>
        <v>0</v>
      </c>
      <c r="AG73" s="145">
        <f t="shared" ca="1" si="12"/>
        <v>0</v>
      </c>
      <c r="AH73" s="145">
        <f t="shared" ca="1" si="12"/>
        <v>0</v>
      </c>
      <c r="AI73" s="145">
        <f t="shared" ca="1" si="12"/>
        <v>0</v>
      </c>
      <c r="AJ73" s="150"/>
      <c r="AK73" s="150"/>
      <c r="AL73" s="137"/>
      <c r="AM73" s="138"/>
      <c r="AN73" s="113"/>
      <c r="AO73" s="114"/>
    </row>
    <row r="74" spans="1:44" ht="15" hidden="1" customHeight="1" outlineLevel="1" collapsed="1" x14ac:dyDescent="0.25">
      <c r="A74" s="113"/>
      <c r="B74" s="115"/>
      <c r="C74" s="115"/>
      <c r="D74" s="115"/>
      <c r="E74" s="114"/>
      <c r="F74" s="236"/>
      <c r="G74" s="86" t="s">
        <v>120</v>
      </c>
      <c r="H74" s="146" t="s">
        <v>121</v>
      </c>
      <c r="I74" s="146" t="s">
        <v>121</v>
      </c>
      <c r="J74" s="146" t="s">
        <v>121</v>
      </c>
      <c r="K74" s="146" t="s">
        <v>121</v>
      </c>
      <c r="L74" s="146" t="s">
        <v>121</v>
      </c>
      <c r="M74" s="146" t="s">
        <v>121</v>
      </c>
      <c r="N74" s="146" t="s">
        <v>121</v>
      </c>
      <c r="O74" s="146" t="s">
        <v>121</v>
      </c>
      <c r="P74" s="146" t="s">
        <v>121</v>
      </c>
      <c r="Q74" s="146" t="s">
        <v>121</v>
      </c>
      <c r="R74" s="146" t="s">
        <v>121</v>
      </c>
      <c r="S74" s="146" t="s">
        <v>121</v>
      </c>
      <c r="T74" s="146" t="s">
        <v>121</v>
      </c>
      <c r="U74" s="146" t="s">
        <v>121</v>
      </c>
      <c r="V74" s="146" t="s">
        <v>121</v>
      </c>
      <c r="W74" s="146" t="s">
        <v>121</v>
      </c>
      <c r="X74" s="146" t="s">
        <v>121</v>
      </c>
      <c r="Y74" s="146" t="s">
        <v>121</v>
      </c>
      <c r="Z74" s="146" t="s">
        <v>121</v>
      </c>
      <c r="AA74" s="146" t="s">
        <v>121</v>
      </c>
      <c r="AB74" s="146" t="s">
        <v>121</v>
      </c>
      <c r="AC74" s="146" t="s">
        <v>121</v>
      </c>
      <c r="AD74" s="146" t="s">
        <v>121</v>
      </c>
      <c r="AE74" s="146" t="s">
        <v>121</v>
      </c>
      <c r="AF74" s="146" t="s">
        <v>121</v>
      </c>
      <c r="AG74" s="146" t="s">
        <v>121</v>
      </c>
      <c r="AH74" s="146" t="s">
        <v>121</v>
      </c>
      <c r="AI74" s="146" t="s">
        <v>121</v>
      </c>
      <c r="AJ74" s="150"/>
      <c r="AK74" s="150"/>
      <c r="AL74" s="137"/>
      <c r="AM74" s="139" t="str">
        <f>IF(COUNTIFS(H74:AI74,"*NC*")=28,"No Change","Adjusted")</f>
        <v>No Change</v>
      </c>
      <c r="AN74" s="113"/>
      <c r="AO74" s="114"/>
    </row>
    <row r="75" spans="1:44" ht="15" hidden="1" customHeight="1" outlineLevel="1" x14ac:dyDescent="0.25">
      <c r="A75" s="113"/>
      <c r="B75" s="115"/>
      <c r="C75" s="115"/>
      <c r="D75" s="115"/>
      <c r="E75" s="114"/>
      <c r="F75" s="236"/>
      <c r="G75" s="86" t="s">
        <v>122</v>
      </c>
      <c r="H75" s="147">
        <f ca="1">_xlfn.XLOOKUP(H$74,Scenarios,'Ramp Scenarios'!$C$3:$C$11)*SUM(H68:H68)-SUM(H68:H68)</f>
        <v>0</v>
      </c>
      <c r="I75" s="147">
        <f ca="1">_xlfn.XLOOKUP(I$74,Scenarios,'Ramp Scenarios'!$C$3:$C$11)*SUM(I68:I68)-SUM(I68:I68)</f>
        <v>0</v>
      </c>
      <c r="J75" s="147">
        <f ca="1">_xlfn.XLOOKUP(J$74,Scenarios,'Ramp Scenarios'!$C$3:$C$11)*SUM(J68:J68)-SUM(J68:J68)</f>
        <v>0</v>
      </c>
      <c r="K75" s="147">
        <f ca="1">_xlfn.XLOOKUP(K$74,Scenarios,'Ramp Scenarios'!$C$3:$C$11)*SUM(K68:K68)-SUM(K68:K68)</f>
        <v>0</v>
      </c>
      <c r="L75" s="147">
        <f ca="1">_xlfn.XLOOKUP(L$74,Scenarios,'Ramp Scenarios'!$C$3:$C$11)*SUM(L68:L68)-SUM(L68:L68)</f>
        <v>0</v>
      </c>
      <c r="M75" s="147">
        <f ca="1">_xlfn.XLOOKUP(M$74,Scenarios,'Ramp Scenarios'!$C$3:$C$11)*SUM(M68:M68)-SUM(M68:M68)</f>
        <v>0</v>
      </c>
      <c r="N75" s="147">
        <f ca="1">_xlfn.XLOOKUP(N$74,Scenarios,'Ramp Scenarios'!$C$3:$C$11)*SUM(N68:N68)-SUM(N68:N68)</f>
        <v>0</v>
      </c>
      <c r="O75" s="147">
        <f ca="1">_xlfn.XLOOKUP(O$74,Scenarios,'Ramp Scenarios'!$C$3:$C$11)*SUM(O68:O68)-SUM(O68:O68)</f>
        <v>0</v>
      </c>
      <c r="P75" s="147">
        <f ca="1">_xlfn.XLOOKUP(P$74,Scenarios,'Ramp Scenarios'!$C$3:$C$11)*SUM(P68:P68)-SUM(P68:P68)</f>
        <v>0</v>
      </c>
      <c r="Q75" s="147">
        <f ca="1">_xlfn.XLOOKUP(Q$74,Scenarios,'Ramp Scenarios'!$C$3:$C$11)*SUM(Q68:Q68)-SUM(Q68:Q68)</f>
        <v>0</v>
      </c>
      <c r="R75" s="147">
        <f ca="1">_xlfn.XLOOKUP(R$74,Scenarios,'Ramp Scenarios'!$C$3:$C$11)*SUM(R68:R68)-SUM(R68:R68)</f>
        <v>0</v>
      </c>
      <c r="S75" s="147">
        <f ca="1">_xlfn.XLOOKUP(S$74,Scenarios,'Ramp Scenarios'!$C$3:$C$11)*SUM(S68:S68)-SUM(S68:S68)</f>
        <v>0</v>
      </c>
      <c r="T75" s="147">
        <f ca="1">_xlfn.XLOOKUP(T$74,Scenarios,'Ramp Scenarios'!$C$3:$C$11)*SUM(T68:T68)-SUM(T68:T68)</f>
        <v>0</v>
      </c>
      <c r="U75" s="147">
        <f ca="1">_xlfn.XLOOKUP(U$74,Scenarios,'Ramp Scenarios'!$C$3:$C$11)*SUM(U68:U68)-SUM(U68:U68)</f>
        <v>0</v>
      </c>
      <c r="V75" s="147">
        <f ca="1">_xlfn.XLOOKUP(V$74,Scenarios,'Ramp Scenarios'!$C$3:$C$11)*SUM(V68:V68)-SUM(V68:V68)</f>
        <v>0</v>
      </c>
      <c r="W75" s="147">
        <f ca="1">_xlfn.XLOOKUP(W$74,Scenarios,'Ramp Scenarios'!$C$3:$C$11)*SUM(W68:W68)-SUM(W68:W68)</f>
        <v>0</v>
      </c>
      <c r="X75" s="147">
        <f ca="1">_xlfn.XLOOKUP(X$74,Scenarios,'Ramp Scenarios'!$C$3:$C$11)*SUM(X68:X68)-SUM(X68:X68)</f>
        <v>0</v>
      </c>
      <c r="Y75" s="147">
        <f ca="1">_xlfn.XLOOKUP(Y$74,Scenarios,'Ramp Scenarios'!$C$3:$C$11)*SUM(Y68:Y68)-SUM(Y68:Y68)</f>
        <v>0</v>
      </c>
      <c r="Z75" s="147">
        <f ca="1">_xlfn.XLOOKUP(Z$74,Scenarios,'Ramp Scenarios'!$C$3:$C$11)*SUM(Z68:Z68)-SUM(Z68:Z68)</f>
        <v>0</v>
      </c>
      <c r="AA75" s="147">
        <f ca="1">_xlfn.XLOOKUP(AA$74,Scenarios,'Ramp Scenarios'!$C$3:$C$11)*SUM(AA68:AA68)-SUM(AA68:AA68)</f>
        <v>0</v>
      </c>
      <c r="AB75" s="147">
        <f ca="1">_xlfn.XLOOKUP(AB$74,Scenarios,'Ramp Scenarios'!$C$3:$C$11)*SUM(AB68:AB68)-SUM(AB68:AB68)</f>
        <v>0</v>
      </c>
      <c r="AC75" s="147">
        <f ca="1">_xlfn.XLOOKUP(AC$74,Scenarios,'Ramp Scenarios'!$C$3:$C$11)*SUM(AC68:AC68)-SUM(AC68:AC68)</f>
        <v>0</v>
      </c>
      <c r="AD75" s="147">
        <f ca="1">_xlfn.XLOOKUP(AD$74,Scenarios,'Ramp Scenarios'!$C$3:$C$11)*SUM(AD68:AD68)-SUM(AD68:AD68)</f>
        <v>0</v>
      </c>
      <c r="AE75" s="147">
        <f ca="1">_xlfn.XLOOKUP(AE$74,Scenarios,'Ramp Scenarios'!$C$3:$C$11)*SUM(AE68:AE68)-SUM(AE68:AE68)</f>
        <v>0</v>
      </c>
      <c r="AF75" s="147">
        <f ca="1">_xlfn.XLOOKUP(AF$74,Scenarios,'Ramp Scenarios'!$C$3:$C$11)*SUM(AF68:AF68)-SUM(AF68:AF68)</f>
        <v>0</v>
      </c>
      <c r="AG75" s="147">
        <f ca="1">_xlfn.XLOOKUP(AG$74,Scenarios,'Ramp Scenarios'!$C$3:$C$11)*SUM(AG68:AG68)-SUM(AG68:AG68)</f>
        <v>0</v>
      </c>
      <c r="AH75" s="147">
        <f ca="1">_xlfn.XLOOKUP(AH$74,Scenarios,'Ramp Scenarios'!$C$3:$C$11)*SUM(AH68:AH68)-SUM(AH68:AH68)</f>
        <v>0</v>
      </c>
      <c r="AI75" s="147">
        <f ca="1">_xlfn.XLOOKUP(AI$74,Scenarios,'Ramp Scenarios'!$C$3:$C$11)*SUM(AI68:AI68)-SUM(AI68:AI68)</f>
        <v>0</v>
      </c>
      <c r="AJ75" s="150"/>
      <c r="AK75" s="150"/>
      <c r="AL75" s="137"/>
      <c r="AM75" s="140">
        <f ca="1">SUM(H75:AI75)</f>
        <v>0</v>
      </c>
      <c r="AN75" s="113"/>
      <c r="AO75" s="114"/>
    </row>
    <row r="76" spans="1:44" ht="15" hidden="1" customHeight="1" outlineLevel="1" x14ac:dyDescent="0.25">
      <c r="A76" s="113"/>
      <c r="B76" s="115"/>
      <c r="C76" s="115"/>
      <c r="D76" s="115"/>
      <c r="E76" s="114"/>
      <c r="F76" s="236"/>
      <c r="G76" s="86" t="s">
        <v>123</v>
      </c>
      <c r="H76" s="127">
        <f ca="1">(H71)*_xlfn.XLOOKUP(H74,Scenarios,'Ramp Scenarios'!$C$3:$C$11)</f>
        <v>0</v>
      </c>
      <c r="I76" s="127">
        <f ca="1">(I71)*_xlfn.XLOOKUP(I74,Scenarios,'Ramp Scenarios'!$C$3:$C$11)</f>
        <v>0</v>
      </c>
      <c r="J76" s="127">
        <f ca="1">(J71)*_xlfn.XLOOKUP(J74,Scenarios,'Ramp Scenarios'!$C$3:$C$11)</f>
        <v>0</v>
      </c>
      <c r="K76" s="127">
        <f ca="1">(K71)*_xlfn.XLOOKUP(K74,Scenarios,'Ramp Scenarios'!$C$3:$C$11)</f>
        <v>0</v>
      </c>
      <c r="L76" s="127">
        <f ca="1">(L71)*_xlfn.XLOOKUP(L74,Scenarios,'Ramp Scenarios'!$C$3:$C$11)</f>
        <v>0</v>
      </c>
      <c r="M76" s="127">
        <f ca="1">(M71)*_xlfn.XLOOKUP(M74,Scenarios,'Ramp Scenarios'!$C$3:$C$11)</f>
        <v>0</v>
      </c>
      <c r="N76" s="127">
        <f ca="1">(N71)*_xlfn.XLOOKUP(N74,Scenarios,'Ramp Scenarios'!$C$3:$C$11)</f>
        <v>0</v>
      </c>
      <c r="O76" s="127">
        <f ca="1">(O71)*_xlfn.XLOOKUP(O74,Scenarios,'Ramp Scenarios'!$C$3:$C$11)</f>
        <v>30138.249515086281</v>
      </c>
      <c r="P76" s="127">
        <f ca="1">(P71)*_xlfn.XLOOKUP(P74,Scenarios,'Ramp Scenarios'!$C$3:$C$11)</f>
        <v>60276.499030172563</v>
      </c>
      <c r="Q76" s="127">
        <f ca="1">(Q71)*_xlfn.XLOOKUP(Q74,Scenarios,'Ramp Scenarios'!$C$3:$C$11)</f>
        <v>90414.748545258859</v>
      </c>
      <c r="R76" s="127">
        <f ca="1">(R71)*_xlfn.XLOOKUP(R74,Scenarios,'Ramp Scenarios'!$C$3:$C$11)</f>
        <v>90414.748545258859</v>
      </c>
      <c r="S76" s="127">
        <f ca="1">(S71)*_xlfn.XLOOKUP(S74,Scenarios,'Ramp Scenarios'!$C$3:$C$11)</f>
        <v>60276.499030172563</v>
      </c>
      <c r="T76" s="127">
        <f ca="1">(T71)*_xlfn.XLOOKUP(T74,Scenarios,'Ramp Scenarios'!$C$3:$C$11)</f>
        <v>60276.499030172563</v>
      </c>
      <c r="U76" s="127">
        <f ca="1">(U71)*_xlfn.XLOOKUP(U74,Scenarios,'Ramp Scenarios'!$C$3:$C$11)</f>
        <v>30138.249515086281</v>
      </c>
      <c r="V76" s="127">
        <f ca="1">(V71)*_xlfn.XLOOKUP(V74,Scenarios,'Ramp Scenarios'!$C$3:$C$11)</f>
        <v>15069.124757543141</v>
      </c>
      <c r="W76" s="127">
        <f ca="1">(W71)*_xlfn.XLOOKUP(W74,Scenarios,'Ramp Scenarios'!$C$3:$C$11)</f>
        <v>9041.4748545258844</v>
      </c>
      <c r="X76" s="127">
        <f ca="1">(X71)*_xlfn.XLOOKUP(X74,Scenarios,'Ramp Scenarios'!$C$3:$C$11)</f>
        <v>9041.4748545258844</v>
      </c>
      <c r="Y76" s="127">
        <f ca="1">(Y71)*_xlfn.XLOOKUP(Y74,Scenarios,'Ramp Scenarios'!$C$3:$C$11)</f>
        <v>0</v>
      </c>
      <c r="Z76" s="127">
        <f ca="1">(Z71)*_xlfn.XLOOKUP(Z74,Scenarios,'Ramp Scenarios'!$C$3:$C$11)</f>
        <v>0</v>
      </c>
      <c r="AA76" s="127">
        <f ca="1">(AA71)*_xlfn.XLOOKUP(AA74,Scenarios,'Ramp Scenarios'!$C$3:$C$11)</f>
        <v>0</v>
      </c>
      <c r="AB76" s="127">
        <f ca="1">(AB71)*_xlfn.XLOOKUP(AB74,Scenarios,'Ramp Scenarios'!$C$3:$C$11)</f>
        <v>0</v>
      </c>
      <c r="AC76" s="127">
        <f ca="1">(AC71)*_xlfn.XLOOKUP(AC74,Scenarios,'Ramp Scenarios'!$C$3:$C$11)</f>
        <v>0</v>
      </c>
      <c r="AD76" s="127">
        <f ca="1">(AD71)*_xlfn.XLOOKUP(AD74,Scenarios,'Ramp Scenarios'!$C$3:$C$11)</f>
        <v>0</v>
      </c>
      <c r="AE76" s="127">
        <f ca="1">(AE71)*_xlfn.XLOOKUP(AE74,Scenarios,'Ramp Scenarios'!$C$3:$C$11)</f>
        <v>0</v>
      </c>
      <c r="AF76" s="127">
        <f ca="1">(AF71)*_xlfn.XLOOKUP(AF74,Scenarios,'Ramp Scenarios'!$C$3:$C$11)</f>
        <v>0</v>
      </c>
      <c r="AG76" s="127">
        <f ca="1">(AG71)*_xlfn.XLOOKUP(AG74,Scenarios,'Ramp Scenarios'!$C$3:$C$11)</f>
        <v>0</v>
      </c>
      <c r="AH76" s="127">
        <f ca="1">(AH71)*_xlfn.XLOOKUP(AH74,Scenarios,'Ramp Scenarios'!$C$3:$C$11)</f>
        <v>0</v>
      </c>
      <c r="AI76" s="127">
        <f ca="1">(AI71)*_xlfn.XLOOKUP(AI74,Scenarios,'Ramp Scenarios'!$C$3:$C$11)</f>
        <v>0</v>
      </c>
      <c r="AJ76" s="67"/>
      <c r="AK76" s="67"/>
      <c r="AL76" s="137"/>
      <c r="AM76" s="137">
        <f ca="1">SUM(H76:AI76)</f>
        <v>455087.56767780293</v>
      </c>
      <c r="AN76" s="113"/>
      <c r="AO76" s="114"/>
    </row>
    <row r="77" spans="1:44" collapsed="1" x14ac:dyDescent="0.25">
      <c r="A77" s="113"/>
      <c r="B77" s="115"/>
      <c r="C77" s="115"/>
      <c r="D77" s="115"/>
      <c r="E77" s="114"/>
      <c r="F77" s="236"/>
      <c r="G77" s="86" t="s">
        <v>124</v>
      </c>
      <c r="H77" s="127">
        <f t="shared" ref="H77:AI77" ca="1" si="13">H76+H70</f>
        <v>0</v>
      </c>
      <c r="I77" s="127">
        <f t="shared" ca="1" si="13"/>
        <v>0</v>
      </c>
      <c r="J77" s="127">
        <f t="shared" ca="1" si="13"/>
        <v>0</v>
      </c>
      <c r="K77" s="127">
        <f t="shared" ca="1" si="13"/>
        <v>0</v>
      </c>
      <c r="L77" s="127">
        <f t="shared" ca="1" si="13"/>
        <v>0</v>
      </c>
      <c r="M77" s="127">
        <f t="shared" ca="1" si="13"/>
        <v>0</v>
      </c>
      <c r="N77" s="127">
        <f t="shared" ca="1" si="13"/>
        <v>0</v>
      </c>
      <c r="O77" s="127">
        <f t="shared" ca="1" si="13"/>
        <v>30138.249515086281</v>
      </c>
      <c r="P77" s="127">
        <f t="shared" ca="1" si="13"/>
        <v>60276.499030172563</v>
      </c>
      <c r="Q77" s="127">
        <f t="shared" ca="1" si="13"/>
        <v>90414.748545258859</v>
      </c>
      <c r="R77" s="127">
        <f t="shared" ca="1" si="13"/>
        <v>90414.748545258859</v>
      </c>
      <c r="S77" s="127">
        <f t="shared" ca="1" si="13"/>
        <v>60276.499030172563</v>
      </c>
      <c r="T77" s="127">
        <f t="shared" ca="1" si="13"/>
        <v>60276.499030172563</v>
      </c>
      <c r="U77" s="127">
        <f t="shared" ca="1" si="13"/>
        <v>30138.249515086281</v>
      </c>
      <c r="V77" s="127">
        <f t="shared" ca="1" si="13"/>
        <v>15069.124757543141</v>
      </c>
      <c r="W77" s="127">
        <f t="shared" ca="1" si="13"/>
        <v>9041.4748545258844</v>
      </c>
      <c r="X77" s="127">
        <f t="shared" ca="1" si="13"/>
        <v>9041.4748545258844</v>
      </c>
      <c r="Y77" s="127">
        <f t="shared" ca="1" si="13"/>
        <v>0</v>
      </c>
      <c r="Z77" s="127">
        <f t="shared" ca="1" si="13"/>
        <v>0</v>
      </c>
      <c r="AA77" s="127">
        <f t="shared" ca="1" si="13"/>
        <v>0</v>
      </c>
      <c r="AB77" s="127">
        <f t="shared" ca="1" si="13"/>
        <v>0</v>
      </c>
      <c r="AC77" s="127">
        <f t="shared" ca="1" si="13"/>
        <v>0</v>
      </c>
      <c r="AD77" s="127">
        <f t="shared" ca="1" si="13"/>
        <v>0</v>
      </c>
      <c r="AE77" s="127">
        <f t="shared" ca="1" si="13"/>
        <v>0</v>
      </c>
      <c r="AF77" s="127">
        <f t="shared" ca="1" si="13"/>
        <v>0</v>
      </c>
      <c r="AG77" s="127">
        <f t="shared" ca="1" si="13"/>
        <v>0</v>
      </c>
      <c r="AH77" s="127">
        <f t="shared" ca="1" si="13"/>
        <v>0</v>
      </c>
      <c r="AI77" s="127">
        <f t="shared" ca="1" si="13"/>
        <v>0</v>
      </c>
      <c r="AJ77" s="67"/>
      <c r="AK77" s="67"/>
      <c r="AL77" s="137"/>
      <c r="AM77" s="137">
        <f ca="1">SUM(H77:AI77)</f>
        <v>455087.56767780293</v>
      </c>
      <c r="AN77" s="113"/>
      <c r="AO77" s="114"/>
    </row>
    <row r="78" spans="1:44" x14ac:dyDescent="0.25">
      <c r="C78" s="64"/>
      <c r="D78" s="64"/>
      <c r="E78" s="64"/>
      <c r="F78" s="64"/>
      <c r="G78" s="70"/>
      <c r="AM78" s="72"/>
    </row>
    <row r="79" spans="1:44" x14ac:dyDescent="0.25">
      <c r="C79" s="64"/>
      <c r="F79" s="64"/>
      <c r="G79" s="71"/>
      <c r="AJ79" s="65"/>
      <c r="AK79" s="65"/>
      <c r="AL79" s="65"/>
      <c r="AM79" s="72"/>
    </row>
    <row r="80" spans="1:44" x14ac:dyDescent="0.25">
      <c r="C80" s="64"/>
      <c r="F80" s="64"/>
      <c r="G80" s="71"/>
      <c r="K80" s="89"/>
    </row>
    <row r="81" spans="3:38" x14ac:dyDescent="0.25">
      <c r="C81" s="64"/>
      <c r="F81" s="64"/>
      <c r="G81" s="71"/>
      <c r="H81" s="4"/>
      <c r="I81" s="4"/>
      <c r="J81" s="4"/>
      <c r="K81" s="90"/>
    </row>
    <row r="82" spans="3:38" x14ac:dyDescent="0.25">
      <c r="C82" s="64"/>
      <c r="F82" s="64"/>
      <c r="G82" s="71"/>
      <c r="H82" s="4"/>
      <c r="I82" s="4"/>
      <c r="J82" s="4"/>
      <c r="K82" s="91"/>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row>
    <row r="83" spans="3:38" x14ac:dyDescent="0.25">
      <c r="C83" s="64"/>
      <c r="F83" s="64"/>
      <c r="G83" s="71"/>
      <c r="H83" s="4"/>
      <c r="I83" s="4"/>
      <c r="J83" s="4"/>
      <c r="K83" s="92"/>
    </row>
    <row r="84" spans="3:38" x14ac:dyDescent="0.25">
      <c r="C84" s="64"/>
      <c r="F84" s="7"/>
      <c r="G84" s="71"/>
      <c r="H84" s="4"/>
      <c r="I84" s="4"/>
      <c r="J84" s="4"/>
      <c r="K84" s="93"/>
    </row>
    <row r="85" spans="3:38" x14ac:dyDescent="0.25">
      <c r="C85" s="64"/>
      <c r="F85" s="7"/>
      <c r="G85" s="71"/>
      <c r="H85" s="4"/>
      <c r="I85" s="4"/>
      <c r="J85" s="4"/>
      <c r="K85" s="4"/>
    </row>
    <row r="86" spans="3:38" x14ac:dyDescent="0.25">
      <c r="C86" s="64"/>
      <c r="F86" s="64"/>
      <c r="G86" s="71"/>
      <c r="H86" s="4"/>
      <c r="I86" s="4"/>
      <c r="J86" s="4"/>
      <c r="K86" s="4"/>
    </row>
    <row r="87" spans="3:38" x14ac:dyDescent="0.25">
      <c r="C87" s="64"/>
      <c r="F87" s="66"/>
      <c r="H87" s="4"/>
      <c r="I87" s="4"/>
      <c r="J87" s="4"/>
      <c r="K87" s="4"/>
    </row>
    <row r="88" spans="3:38" x14ac:dyDescent="0.25">
      <c r="C88" s="64"/>
      <c r="F88" s="66"/>
      <c r="H88" s="4"/>
      <c r="I88" s="4"/>
      <c r="J88" s="4"/>
      <c r="K88" s="4"/>
    </row>
    <row r="89" spans="3:38" x14ac:dyDescent="0.25">
      <c r="C89" s="64"/>
      <c r="F89" s="66"/>
      <c r="H89" s="4"/>
      <c r="I89" s="4"/>
      <c r="J89" s="4"/>
      <c r="K89" s="4"/>
    </row>
    <row r="90" spans="3:38" x14ac:dyDescent="0.25">
      <c r="D90" s="66"/>
      <c r="E90" s="66"/>
      <c r="F90" s="66"/>
      <c r="H90" s="4"/>
      <c r="I90" s="4"/>
      <c r="J90" s="4"/>
      <c r="K90" s="4"/>
    </row>
    <row r="91" spans="3:38" x14ac:dyDescent="0.25">
      <c r="D91" s="66"/>
      <c r="E91" s="66"/>
      <c r="F91" s="66"/>
      <c r="H91" s="4"/>
      <c r="I91" s="4"/>
      <c r="J91" s="4"/>
      <c r="K91" s="4"/>
    </row>
    <row r="92" spans="3:38" x14ac:dyDescent="0.25">
      <c r="D92" s="66"/>
      <c r="E92" s="66"/>
      <c r="F92" s="66"/>
      <c r="H92" s="4"/>
      <c r="I92" s="4"/>
      <c r="J92" s="4"/>
      <c r="K92" s="4"/>
    </row>
    <row r="93" spans="3:38" x14ac:dyDescent="0.25">
      <c r="D93" s="66"/>
      <c r="E93" s="66"/>
      <c r="F93" s="66"/>
      <c r="H93" s="4"/>
      <c r="I93" s="4"/>
      <c r="J93" s="4"/>
      <c r="K93" s="4"/>
    </row>
    <row r="94" spans="3:38" x14ac:dyDescent="0.25">
      <c r="D94" s="66"/>
      <c r="E94" s="66"/>
      <c r="F94" s="66"/>
      <c r="H94" s="4"/>
      <c r="I94" s="4"/>
      <c r="J94" s="4"/>
      <c r="K94" s="4"/>
    </row>
    <row r="95" spans="3:38" x14ac:dyDescent="0.25">
      <c r="D95" s="66"/>
      <c r="E95" s="66"/>
      <c r="F95" s="66"/>
      <c r="H95" s="4"/>
      <c r="I95" s="4"/>
      <c r="J95" s="4"/>
      <c r="K95" s="4"/>
    </row>
    <row r="96" spans="3:38" x14ac:dyDescent="0.25">
      <c r="D96" s="66"/>
      <c r="E96" s="66"/>
      <c r="F96" s="66"/>
      <c r="H96" s="4"/>
      <c r="I96" s="4"/>
      <c r="J96" s="4"/>
      <c r="K96" s="4"/>
    </row>
    <row r="97" spans="4:11" x14ac:dyDescent="0.25">
      <c r="D97" s="66"/>
      <c r="E97" s="66"/>
      <c r="F97" s="66"/>
      <c r="H97" s="4"/>
      <c r="I97" s="4"/>
      <c r="J97" s="4"/>
      <c r="K97" s="4"/>
    </row>
    <row r="98" spans="4:11" x14ac:dyDescent="0.25">
      <c r="D98" s="66"/>
      <c r="E98" s="66"/>
      <c r="F98" s="66"/>
      <c r="H98" s="4"/>
      <c r="I98" s="4"/>
      <c r="J98" s="4"/>
      <c r="K98" s="4"/>
    </row>
    <row r="99" spans="4:11" x14ac:dyDescent="0.25">
      <c r="D99" s="66"/>
      <c r="E99" s="66"/>
      <c r="F99" s="66"/>
      <c r="H99" s="4"/>
      <c r="I99" s="4"/>
      <c r="J99" s="4"/>
      <c r="K99" s="4"/>
    </row>
    <row r="100" spans="4:11" x14ac:dyDescent="0.25">
      <c r="D100" s="66"/>
      <c r="E100" s="66"/>
      <c r="F100" s="66"/>
      <c r="H100" s="4"/>
      <c r="I100" s="4"/>
      <c r="J100" s="4"/>
      <c r="K100" s="4"/>
    </row>
    <row r="101" spans="4:11" x14ac:dyDescent="0.25">
      <c r="D101" s="66"/>
      <c r="E101" s="66"/>
      <c r="F101" s="66"/>
      <c r="H101" s="4"/>
      <c r="I101" s="4"/>
      <c r="J101" s="4"/>
      <c r="K101" s="4"/>
    </row>
    <row r="102" spans="4:11" x14ac:dyDescent="0.25">
      <c r="D102" s="66"/>
      <c r="E102" s="66"/>
      <c r="F102" s="66"/>
      <c r="H102" s="4"/>
      <c r="I102" s="4"/>
      <c r="J102" s="4"/>
      <c r="K102" s="4"/>
    </row>
    <row r="103" spans="4:11" x14ac:dyDescent="0.25">
      <c r="D103" s="66"/>
      <c r="E103" s="66"/>
      <c r="F103" s="66"/>
      <c r="H103" s="4"/>
      <c r="I103" s="4"/>
      <c r="J103" s="4"/>
      <c r="K103" s="4"/>
    </row>
    <row r="104" spans="4:11" x14ac:dyDescent="0.25">
      <c r="D104" s="66"/>
      <c r="E104" s="66"/>
      <c r="F104" s="66"/>
      <c r="H104" s="4"/>
      <c r="I104" s="4"/>
      <c r="J104" s="4"/>
      <c r="K104" s="4"/>
    </row>
    <row r="105" spans="4:11" x14ac:dyDescent="0.25">
      <c r="D105" s="66"/>
      <c r="E105" s="66"/>
      <c r="F105" s="66"/>
      <c r="H105" s="4"/>
      <c r="I105" s="4"/>
      <c r="J105" s="4"/>
      <c r="K105" s="4"/>
    </row>
    <row r="106" spans="4:11" x14ac:dyDescent="0.25">
      <c r="D106" s="66"/>
      <c r="E106" s="66"/>
      <c r="F106" s="66"/>
      <c r="H106" s="4"/>
      <c r="I106" s="4"/>
      <c r="J106" s="4"/>
      <c r="K106" s="4"/>
    </row>
    <row r="107" spans="4:11" x14ac:dyDescent="0.25">
      <c r="D107" s="66"/>
      <c r="E107" s="66"/>
      <c r="F107" s="66"/>
      <c r="H107" s="4"/>
      <c r="I107" s="4"/>
      <c r="J107" s="4"/>
      <c r="K107" s="4"/>
    </row>
    <row r="108" spans="4:11" x14ac:dyDescent="0.25">
      <c r="D108" s="66"/>
      <c r="E108" s="66"/>
      <c r="F108" s="66"/>
      <c r="H108" s="4"/>
      <c r="I108" s="4"/>
      <c r="J108" s="4"/>
      <c r="K108" s="4"/>
    </row>
    <row r="109" spans="4:11" x14ac:dyDescent="0.25">
      <c r="D109" s="66"/>
      <c r="E109" s="66"/>
      <c r="F109" s="66"/>
      <c r="H109" s="4"/>
      <c r="I109" s="4"/>
      <c r="J109" s="4"/>
      <c r="K109" s="4"/>
    </row>
    <row r="110" spans="4:11" x14ac:dyDescent="0.25">
      <c r="H110" s="4"/>
      <c r="I110" s="4"/>
      <c r="J110" s="4"/>
      <c r="K110" s="4"/>
    </row>
    <row r="111" spans="4:11" x14ac:dyDescent="0.25">
      <c r="H111" s="4"/>
      <c r="I111" s="4"/>
      <c r="J111" s="4"/>
      <c r="K111" s="4"/>
    </row>
    <row r="112" spans="4:11" x14ac:dyDescent="0.25">
      <c r="H112" s="4"/>
      <c r="I112" s="4"/>
      <c r="J112" s="4"/>
      <c r="K112" s="4"/>
    </row>
    <row r="113" spans="8:11" x14ac:dyDescent="0.25">
      <c r="H113" s="4"/>
      <c r="I113" s="4"/>
      <c r="J113" s="4"/>
      <c r="K113" s="4"/>
    </row>
    <row r="114" spans="8:11" x14ac:dyDescent="0.25">
      <c r="H114" s="4"/>
      <c r="I114" s="4"/>
      <c r="J114" s="4"/>
      <c r="K114" s="4"/>
    </row>
    <row r="115" spans="8:11" x14ac:dyDescent="0.25">
      <c r="H115" s="4"/>
      <c r="I115" s="4"/>
      <c r="J115" s="4"/>
      <c r="K115" s="4"/>
    </row>
    <row r="116" spans="8:11" x14ac:dyDescent="0.25">
      <c r="H116" s="4"/>
      <c r="I116" s="4"/>
      <c r="J116" s="4"/>
      <c r="K116" s="4"/>
    </row>
    <row r="117" spans="8:11" x14ac:dyDescent="0.25">
      <c r="H117" s="4"/>
      <c r="I117" s="4"/>
      <c r="J117" s="4"/>
      <c r="K117" s="4"/>
    </row>
    <row r="118" spans="8:11" x14ac:dyDescent="0.25">
      <c r="H118" s="4"/>
      <c r="I118" s="4"/>
      <c r="J118" s="4"/>
      <c r="K118" s="4"/>
    </row>
    <row r="119" spans="8:11" x14ac:dyDescent="0.25">
      <c r="H119" s="4"/>
      <c r="I119" s="4"/>
      <c r="J119" s="4"/>
      <c r="K119" s="4"/>
    </row>
  </sheetData>
  <sheetProtection autoFilter="0"/>
  <autoFilter ref="A5:AR65" xr:uid="{CFBAC765-24F7-425E-A09E-F1FCF2F641E3}">
    <filterColumn colId="2">
      <filters>
        <filter val="SPG_Platform_Linux"/>
      </filters>
    </filterColumn>
  </autoFilter>
  <mergeCells count="27">
    <mergeCell ref="F73:F77"/>
    <mergeCell ref="C69:E69"/>
    <mergeCell ref="C70:E70"/>
    <mergeCell ref="F70:F72"/>
    <mergeCell ref="A71:B71"/>
    <mergeCell ref="C71:E71"/>
    <mergeCell ref="C72:E72"/>
    <mergeCell ref="A67:E67"/>
    <mergeCell ref="F67:F69"/>
    <mergeCell ref="A68:B68"/>
    <mergeCell ref="C68:E68"/>
    <mergeCell ref="A69:B69"/>
    <mergeCell ref="AN1:AO1"/>
    <mergeCell ref="A2:C2"/>
    <mergeCell ref="D2:G2"/>
    <mergeCell ref="AN2:AO4"/>
    <mergeCell ref="A3:B4"/>
    <mergeCell ref="C3:C4"/>
    <mergeCell ref="D3:G3"/>
    <mergeCell ref="D4:G4"/>
    <mergeCell ref="H4:K4"/>
    <mergeCell ref="L4:O4"/>
    <mergeCell ref="P4:S4"/>
    <mergeCell ref="T4:W4"/>
    <mergeCell ref="X4:AA4"/>
    <mergeCell ref="AB4:AE4"/>
    <mergeCell ref="AF4:AI4"/>
  </mergeCells>
  <conditionalFormatting sqref="A1:AO1">
    <cfRule type="expression" dxfId="48" priority="38">
      <formula>$AN$2="MS Project"</formula>
    </cfRule>
    <cfRule type="expression" dxfId="47" priority="39">
      <formula>$AN$2="Complete"</formula>
    </cfRule>
    <cfRule type="expression" dxfId="46" priority="40">
      <formula>$AN$2="In Progress"</formula>
    </cfRule>
  </conditionalFormatting>
  <conditionalFormatting sqref="B6:G26 B36:G65 B27:C35 E27:G35 D26:D29">
    <cfRule type="expression" dxfId="45" priority="28">
      <formula>AND($AM6&gt;0,$B6="")</formula>
    </cfRule>
  </conditionalFormatting>
  <conditionalFormatting sqref="D27:D35">
    <cfRule type="expression" dxfId="44" priority="24">
      <formula>AND($AN27&gt;0,$C27="")</formula>
    </cfRule>
  </conditionalFormatting>
  <conditionalFormatting sqref="G6:AI65">
    <cfRule type="expression" dxfId="43" priority="11">
      <formula>SEARCH("inc",$G6,1)=1</formula>
    </cfRule>
  </conditionalFormatting>
  <conditionalFormatting sqref="H6:AI65">
    <cfRule type="expression" dxfId="42" priority="12">
      <formula>$AN$2="MS Project"</formula>
    </cfRule>
    <cfRule type="expression" dxfId="41" priority="13">
      <formula>$AN$2="Complete"</formula>
    </cfRule>
  </conditionalFormatting>
  <conditionalFormatting sqref="H69:AI69">
    <cfRule type="colorScale" priority="29">
      <colorScale>
        <cfvo type="min"/>
        <cfvo type="max"/>
        <color theme="1" tint="0.249977111117893"/>
        <color rgb="FFC00000"/>
      </colorScale>
    </cfRule>
  </conditionalFormatting>
  <conditionalFormatting sqref="H73:AI73">
    <cfRule type="cellIs" dxfId="40" priority="30" operator="greaterThan">
      <formula>15</formula>
    </cfRule>
    <cfRule type="cellIs" dxfId="39" priority="31" operator="greaterThan">
      <formula>10</formula>
    </cfRule>
    <cfRule type="cellIs" dxfId="38" priority="32" operator="greaterThan">
      <formula>4</formula>
    </cfRule>
  </conditionalFormatting>
  <conditionalFormatting sqref="AN2:AN3">
    <cfRule type="cellIs" dxfId="37" priority="35" operator="equal">
      <formula>"MS Project"</formula>
    </cfRule>
    <cfRule type="cellIs" dxfId="36" priority="36" operator="equal">
      <formula>"In Progress"</formula>
    </cfRule>
    <cfRule type="cellIs" dxfId="35" priority="37" operator="equal">
      <formula>"Complete"</formula>
    </cfRule>
  </conditionalFormatting>
  <conditionalFormatting sqref="AO5:AO65">
    <cfRule type="cellIs" dxfId="34" priority="33" operator="equal">
      <formula>"OK"</formula>
    </cfRule>
  </conditionalFormatting>
  <conditionalFormatting sqref="AO6:AO65">
    <cfRule type="cellIs" dxfId="33" priority="34" operator="equal">
      <formula>"Check"</formula>
    </cfRule>
  </conditionalFormatting>
  <dataValidations count="7">
    <dataValidation type="list" allowBlank="1" showInputMessage="1" showErrorMessage="1" sqref="H74:AI74" xr:uid="{BF71772D-220C-405A-BAF2-B250ED9E6DAA}">
      <formula1>Scenarios</formula1>
    </dataValidation>
    <dataValidation type="list" allowBlank="1" showInputMessage="1" showErrorMessage="1" sqref="AN2:AN3" xr:uid="{471070E2-28A2-45BA-8EE5-318DB9F8110A}">
      <formula1>Status</formula1>
    </dataValidation>
    <dataValidation type="list" allowBlank="1" showErrorMessage="1" errorTitle="Invalid" error="Please select a valid entry" sqref="G6:G65" xr:uid="{55B52D5F-E29A-4D47-B1CE-86804328B64D}">
      <formula1>HCType</formula1>
    </dataValidation>
    <dataValidation type="list" allowBlank="1" showInputMessage="1" showErrorMessage="1" sqref="E6:E65" xr:uid="{44639F4C-37DC-4AFE-BC93-31955D84E00C}">
      <formula1>Location</formula1>
    </dataValidation>
    <dataValidation type="list" allowBlank="1" showErrorMessage="1" errorTitle="Invalid" error="Please select a valid entry" sqref="B6:B65" xr:uid="{D1ACA9B4-E5EF-43E1-9901-6F16551E9285}">
      <formula1>CVP</formula1>
    </dataValidation>
    <dataValidation type="list" allowBlank="1" showErrorMessage="1" errorTitle="Invalid" error="Please select a valid entry" sqref="C6:C65" xr:uid="{28306CA0-A3B6-45FE-A62A-3B821E0D89A5}">
      <formula1>INDIRECT($B6&amp;"Team")</formula1>
    </dataValidation>
    <dataValidation type="list" allowBlank="1" showErrorMessage="1" errorTitle="Invalid" error="Please select a valid entry" prompt="Select allocation file" sqref="F6:F65" xr:uid="{C83082C0-C65B-4B82-8069-7CFDC4F84E32}">
      <formula1>INDIRECT(B6)</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3C80064F-9786-45A5-A8BE-D2CCB04026AE}">
          <x14:colorSeries rgb="FF5F5F5F"/>
          <x14:colorNegative rgb="FFFFB620"/>
          <x14:colorAxis rgb="FF000000"/>
          <x14:colorMarkers rgb="FFD70077"/>
          <x14:colorFirst rgb="FF5687C2"/>
          <x14:colorLast rgb="FF359CEB"/>
          <x14:colorHigh rgb="FF56BE79"/>
          <x14:colorLow rgb="FFFF5055"/>
          <x14:sparklines>
            <x14:sparkline>
              <xm:f>'Capitola C40 v1.0 r2 (EPD)'!H6:AI6</xm:f>
              <xm:sqref>AN6</xm:sqref>
            </x14:sparkline>
            <x14:sparkline>
              <xm:f>'Capitola C40 v1.0 r2 (EPD)'!H7:AI7</xm:f>
              <xm:sqref>AN7</xm:sqref>
            </x14:sparkline>
            <x14:sparkline>
              <xm:f>'Capitola C40 v1.0 r2 (EPD)'!H8:AI8</xm:f>
              <xm:sqref>AN8</xm:sqref>
            </x14:sparkline>
            <x14:sparkline>
              <xm:f>'Capitola C40 v1.0 r2 (EPD)'!H9:AI9</xm:f>
              <xm:sqref>AN9</xm:sqref>
            </x14:sparkline>
            <x14:sparkline>
              <xm:f>'Capitola C40 v1.0 r2 (EPD)'!H10:AI10</xm:f>
              <xm:sqref>AN10</xm:sqref>
            </x14:sparkline>
            <x14:sparkline>
              <xm:f>'Capitola C40 v1.0 r2 (EPD)'!H11:AI11</xm:f>
              <xm:sqref>AN11</xm:sqref>
            </x14:sparkline>
            <x14:sparkline>
              <xm:f>'Capitola C40 v1.0 r2 (EPD)'!H12:AI12</xm:f>
              <xm:sqref>AN12</xm:sqref>
            </x14:sparkline>
            <x14:sparkline>
              <xm:f>'Capitola C40 v1.0 r2 (EPD)'!H13:AI13</xm:f>
              <xm:sqref>AN13</xm:sqref>
            </x14:sparkline>
            <x14:sparkline>
              <xm:f>'Capitola C40 v1.0 r2 (EPD)'!H14:AI14</xm:f>
              <xm:sqref>AN14</xm:sqref>
            </x14:sparkline>
            <x14:sparkline>
              <xm:f>'Capitola C40 v1.0 r2 (EPD)'!H15:AI15</xm:f>
              <xm:sqref>AN15</xm:sqref>
            </x14:sparkline>
            <x14:sparkline>
              <xm:f>'Capitola C40 v1.0 r2 (EPD)'!H16:AI16</xm:f>
              <xm:sqref>AN16</xm:sqref>
            </x14:sparkline>
            <x14:sparkline>
              <xm:f>'Capitola C40 v1.0 r2 (EPD)'!H17:AI17</xm:f>
              <xm:sqref>AN17</xm:sqref>
            </x14:sparkline>
            <x14:sparkline>
              <xm:f>'Capitola C40 v1.0 r2 (EPD)'!H18:AI18</xm:f>
              <xm:sqref>AN18</xm:sqref>
            </x14:sparkline>
            <x14:sparkline>
              <xm:f>'Capitola C40 v1.0 r2 (EPD)'!H19:AI19</xm:f>
              <xm:sqref>AN19</xm:sqref>
            </x14:sparkline>
            <x14:sparkline>
              <xm:f>'Capitola C40 v1.0 r2 (EPD)'!H20:AI20</xm:f>
              <xm:sqref>AN20</xm:sqref>
            </x14:sparkline>
            <x14:sparkline>
              <xm:f>'Capitola C40 v1.0 r2 (EPD)'!H21:AI21</xm:f>
              <xm:sqref>AN21</xm:sqref>
            </x14:sparkline>
            <x14:sparkline>
              <xm:f>'Capitola C40 v1.0 r2 (EPD)'!H22:AI22</xm:f>
              <xm:sqref>AN22</xm:sqref>
            </x14:sparkline>
            <x14:sparkline>
              <xm:f>'Capitola C40 v1.0 r2 (EPD)'!H23:AI23</xm:f>
              <xm:sqref>AN23</xm:sqref>
            </x14:sparkline>
            <x14:sparkline>
              <xm:f>'Capitola C40 v1.0 r2 (EPD)'!H24:AI24</xm:f>
              <xm:sqref>AN24</xm:sqref>
            </x14:sparkline>
            <x14:sparkline>
              <xm:f>'Capitola C40 v1.0 r2 (EPD)'!H25:AI25</xm:f>
              <xm:sqref>AN25</xm:sqref>
            </x14:sparkline>
            <x14:sparkline>
              <xm:f>'Capitola C40 v1.0 r2 (EPD)'!H26:AI26</xm:f>
              <xm:sqref>AN26</xm:sqref>
            </x14:sparkline>
            <x14:sparkline>
              <xm:f>'Capitola C40 v1.0 r2 (EPD)'!H27:AI27</xm:f>
              <xm:sqref>AN27</xm:sqref>
            </x14:sparkline>
            <x14:sparkline>
              <xm:f>'Capitola C40 v1.0 r2 (EPD)'!H28:AI28</xm:f>
              <xm:sqref>AN28</xm:sqref>
            </x14:sparkline>
            <x14:sparkline>
              <xm:f>'Capitola C40 v1.0 r2 (EPD)'!H29:AI29</xm:f>
              <xm:sqref>AN29</xm:sqref>
            </x14:sparkline>
            <x14:sparkline>
              <xm:f>'Capitola C40 v1.0 r2 (EPD)'!H30:AI30</xm:f>
              <xm:sqref>AN30</xm:sqref>
            </x14:sparkline>
            <x14:sparkline>
              <xm:f>'Capitola C40 v1.0 r2 (EPD)'!H31:AI31</xm:f>
              <xm:sqref>AN31</xm:sqref>
            </x14:sparkline>
            <x14:sparkline>
              <xm:f>'Capitola C40 v1.0 r2 (EPD)'!H32:AI32</xm:f>
              <xm:sqref>AN32</xm:sqref>
            </x14:sparkline>
            <x14:sparkline>
              <xm:f>'Capitola C40 v1.0 r2 (EPD)'!H33:AI33</xm:f>
              <xm:sqref>AN33</xm:sqref>
            </x14:sparkline>
            <x14:sparkline>
              <xm:f>'Capitola C40 v1.0 r2 (EPD)'!H34:AI34</xm:f>
              <xm:sqref>AN34</xm:sqref>
            </x14:sparkline>
            <x14:sparkline>
              <xm:f>'Capitola C40 v1.0 r2 (EPD)'!H35:AI35</xm:f>
              <xm:sqref>AN35</xm:sqref>
            </x14:sparkline>
            <x14:sparkline>
              <xm:f>'Capitola C40 v1.0 r2 (EPD)'!H36:AI36</xm:f>
              <xm:sqref>AN36</xm:sqref>
            </x14:sparkline>
            <x14:sparkline>
              <xm:f>'Capitola C40 v1.0 r2 (EPD)'!H37:AI37</xm:f>
              <xm:sqref>AN37</xm:sqref>
            </x14:sparkline>
            <x14:sparkline>
              <xm:f>'Capitola C40 v1.0 r2 (EPD)'!H38:AI38</xm:f>
              <xm:sqref>AN38</xm:sqref>
            </x14:sparkline>
            <x14:sparkline>
              <xm:f>'Capitola C40 v1.0 r2 (EPD)'!H39:AI39</xm:f>
              <xm:sqref>AN39</xm:sqref>
            </x14:sparkline>
            <x14:sparkline>
              <xm:f>'Capitola C40 v1.0 r2 (EPD)'!H40:AI40</xm:f>
              <xm:sqref>AN40</xm:sqref>
            </x14:sparkline>
            <x14:sparkline>
              <xm:f>'Capitola C40 v1.0 r2 (EPD)'!H41:AI41</xm:f>
              <xm:sqref>AN41</xm:sqref>
            </x14:sparkline>
            <x14:sparkline>
              <xm:f>'Capitola C40 v1.0 r2 (EPD)'!H42:AI42</xm:f>
              <xm:sqref>AN42</xm:sqref>
            </x14:sparkline>
            <x14:sparkline>
              <xm:f>'Capitola C40 v1.0 r2 (EPD)'!H43:AI43</xm:f>
              <xm:sqref>AN43</xm:sqref>
            </x14:sparkline>
            <x14:sparkline>
              <xm:f>'Capitola C40 v1.0 r2 (EPD)'!H44:AI44</xm:f>
              <xm:sqref>AN44</xm:sqref>
            </x14:sparkline>
            <x14:sparkline>
              <xm:f>'Capitola C40 v1.0 r2 (EPD)'!H45:AI45</xm:f>
              <xm:sqref>AN45</xm:sqref>
            </x14:sparkline>
            <x14:sparkline>
              <xm:f>'Capitola C40 v1.0 r2 (EPD)'!H46:AI46</xm:f>
              <xm:sqref>AN46</xm:sqref>
            </x14:sparkline>
            <x14:sparkline>
              <xm:f>'Capitola C40 v1.0 r2 (EPD)'!H47:AI47</xm:f>
              <xm:sqref>AN47</xm:sqref>
            </x14:sparkline>
            <x14:sparkline>
              <xm:f>'Capitola C40 v1.0 r2 (EPD)'!H48:AI48</xm:f>
              <xm:sqref>AN48</xm:sqref>
            </x14:sparkline>
            <x14:sparkline>
              <xm:f>'Capitola C40 v1.0 r2 (EPD)'!H49:AI49</xm:f>
              <xm:sqref>AN49</xm:sqref>
            </x14:sparkline>
            <x14:sparkline>
              <xm:f>'Capitola C40 v1.0 r2 (EPD)'!H50:AI50</xm:f>
              <xm:sqref>AN50</xm:sqref>
            </x14:sparkline>
            <x14:sparkline>
              <xm:f>'Capitola C40 v1.0 r2 (EPD)'!H51:AI51</xm:f>
              <xm:sqref>AN51</xm:sqref>
            </x14:sparkline>
            <x14:sparkline>
              <xm:f>'Capitola C40 v1.0 r2 (EPD)'!H52:AI52</xm:f>
              <xm:sqref>AN52</xm:sqref>
            </x14:sparkline>
            <x14:sparkline>
              <xm:f>'Capitola C40 v1.0 r2 (EPD)'!H53:AI53</xm:f>
              <xm:sqref>AN53</xm:sqref>
            </x14:sparkline>
            <x14:sparkline>
              <xm:f>'Capitola C40 v1.0 r2 (EPD)'!H54:AI54</xm:f>
              <xm:sqref>AN54</xm:sqref>
            </x14:sparkline>
            <x14:sparkline>
              <xm:f>'Capitola C40 v1.0 r2 (EPD)'!H55:AI55</xm:f>
              <xm:sqref>AN55</xm:sqref>
            </x14:sparkline>
            <x14:sparkline>
              <xm:f>'Capitola C40 v1.0 r2 (EPD)'!H56:AI56</xm:f>
              <xm:sqref>AN56</xm:sqref>
            </x14:sparkline>
            <x14:sparkline>
              <xm:f>'Capitola C40 v1.0 r2 (EPD)'!H57:AI57</xm:f>
              <xm:sqref>AN57</xm:sqref>
            </x14:sparkline>
            <x14:sparkline>
              <xm:f>'Capitola C40 v1.0 r2 (EPD)'!H58:AI58</xm:f>
              <xm:sqref>AN58</xm:sqref>
            </x14:sparkline>
            <x14:sparkline>
              <xm:f>'Capitola C40 v1.0 r2 (EPD)'!H59:AI59</xm:f>
              <xm:sqref>AN59</xm:sqref>
            </x14:sparkline>
            <x14:sparkline>
              <xm:f>'Capitola C40 v1.0 r2 (EPD)'!H60:AI60</xm:f>
              <xm:sqref>AN60</xm:sqref>
            </x14:sparkline>
            <x14:sparkline>
              <xm:f>'Capitola C40 v1.0 r2 (EPD)'!H61:AI61</xm:f>
              <xm:sqref>AN61</xm:sqref>
            </x14:sparkline>
            <x14:sparkline>
              <xm:f>'Capitola C40 v1.0 r2 (EPD)'!H62:AI62</xm:f>
              <xm:sqref>AN62</xm:sqref>
            </x14:sparkline>
            <x14:sparkline>
              <xm:f>'Capitola C40 v1.0 r2 (EPD)'!H63:AI63</xm:f>
              <xm:sqref>AN63</xm:sqref>
            </x14:sparkline>
            <x14:sparkline>
              <xm:f>'Capitola C40 v1.0 r2 (EPD)'!H64:AI64</xm:f>
              <xm:sqref>AN64</xm:sqref>
            </x14:sparkline>
            <x14:sparkline>
              <xm:f>'Capitola C40 v1.0 r2 (EPD)'!H65:AI65</xm:f>
              <xm:sqref>AN65</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57BE-C87B-45D7-8600-80C28C9F913F}">
  <sheetPr published="0" codeName="Sheet7">
    <tabColor theme="7"/>
  </sheetPr>
  <dimension ref="A1:D30"/>
  <sheetViews>
    <sheetView zoomScaleNormal="100" workbookViewId="0">
      <pane ySplit="2" topLeftCell="A12" activePane="bottomLeft" state="frozen"/>
      <selection activeCell="G7" sqref="G7"/>
      <selection pane="bottomLeft" activeCell="C12" sqref="C12"/>
    </sheetView>
  </sheetViews>
  <sheetFormatPr defaultColWidth="9.42578125" defaultRowHeight="15" x14ac:dyDescent="0.25"/>
  <cols>
    <col min="1" max="1" width="37" style="14" customWidth="1"/>
    <col min="2" max="2" width="63.5703125" style="14" customWidth="1"/>
    <col min="3" max="3" width="64" style="14" customWidth="1"/>
    <col min="4" max="4" width="58.42578125" style="14" customWidth="1"/>
    <col min="5" max="16384" width="9.42578125" style="14"/>
  </cols>
  <sheetData>
    <row r="1" spans="1:4" ht="36.75" customHeight="1" thickBot="1" x14ac:dyDescent="0.3">
      <c r="A1" s="199" t="s">
        <v>0</v>
      </c>
      <c r="B1" s="199"/>
      <c r="C1" s="199"/>
      <c r="D1" s="199"/>
    </row>
    <row r="2" spans="1:4" x14ac:dyDescent="0.25">
      <c r="A2" s="17" t="s">
        <v>1</v>
      </c>
      <c r="B2" s="99" t="s">
        <v>2</v>
      </c>
      <c r="C2" s="18" t="s">
        <v>3</v>
      </c>
      <c r="D2" s="19" t="s">
        <v>4</v>
      </c>
    </row>
    <row r="3" spans="1:4" x14ac:dyDescent="0.25">
      <c r="A3" s="35" t="s">
        <v>5</v>
      </c>
      <c r="B3" s="16" t="s">
        <v>315</v>
      </c>
      <c r="C3" s="16"/>
      <c r="D3" s="22"/>
    </row>
    <row r="4" spans="1:4" ht="165" x14ac:dyDescent="0.25">
      <c r="A4" s="35" t="s">
        <v>6</v>
      </c>
      <c r="B4" s="15" t="s">
        <v>7</v>
      </c>
      <c r="C4" s="108" t="s">
        <v>8</v>
      </c>
      <c r="D4" s="108"/>
    </row>
    <row r="5" spans="1:4" ht="120" x14ac:dyDescent="0.25">
      <c r="A5" s="35" t="s">
        <v>9</v>
      </c>
      <c r="B5" s="32"/>
      <c r="C5" s="178" t="s">
        <v>10</v>
      </c>
      <c r="D5" s="33"/>
    </row>
    <row r="6" spans="1:4" ht="240" x14ac:dyDescent="0.25">
      <c r="A6" s="35" t="s">
        <v>11</v>
      </c>
      <c r="B6" s="32" t="s">
        <v>333</v>
      </c>
      <c r="C6" s="178" t="s">
        <v>329</v>
      </c>
      <c r="D6" s="33"/>
    </row>
    <row r="7" spans="1:4" ht="240" x14ac:dyDescent="0.25">
      <c r="A7" s="104" t="s">
        <v>12</v>
      </c>
      <c r="B7" s="103" t="s">
        <v>13</v>
      </c>
      <c r="C7" s="103" t="s">
        <v>14</v>
      </c>
      <c r="D7" s="103"/>
    </row>
    <row r="8" spans="1:4" ht="30" x14ac:dyDescent="0.25">
      <c r="A8" s="104" t="s">
        <v>15</v>
      </c>
      <c r="B8" s="103" t="s">
        <v>16</v>
      </c>
      <c r="C8" s="103" t="s">
        <v>17</v>
      </c>
      <c r="D8" s="103"/>
    </row>
    <row r="9" spans="1:4" x14ac:dyDescent="0.25">
      <c r="A9" s="104" t="s">
        <v>18</v>
      </c>
      <c r="B9" s="14" t="s">
        <v>315</v>
      </c>
      <c r="C9" s="103"/>
      <c r="D9" s="103"/>
    </row>
    <row r="10" spans="1:4" x14ac:dyDescent="0.25">
      <c r="A10" s="104" t="s">
        <v>20</v>
      </c>
      <c r="B10" s="14" t="s">
        <v>315</v>
      </c>
      <c r="C10" s="103"/>
      <c r="D10" s="103"/>
    </row>
    <row r="11" spans="1:4" x14ac:dyDescent="0.25">
      <c r="A11" s="34" t="s">
        <v>22</v>
      </c>
      <c r="B11" s="14" t="s">
        <v>315</v>
      </c>
      <c r="C11" s="31"/>
      <c r="D11" s="22"/>
    </row>
    <row r="12" spans="1:4" ht="409.5" x14ac:dyDescent="0.25">
      <c r="A12" s="179" t="s">
        <v>25</v>
      </c>
      <c r="B12" s="116" t="s">
        <v>344</v>
      </c>
      <c r="C12" s="15" t="s">
        <v>345</v>
      </c>
      <c r="D12" s="167" t="s">
        <v>346</v>
      </c>
    </row>
    <row r="13" spans="1:4" ht="200.25" customHeight="1" x14ac:dyDescent="0.25">
      <c r="A13" s="73" t="s">
        <v>26</v>
      </c>
      <c r="B13" s="108" t="s">
        <v>27</v>
      </c>
      <c r="C13" s="108" t="s">
        <v>28</v>
      </c>
      <c r="D13" s="180" t="s">
        <v>29</v>
      </c>
    </row>
    <row r="14" spans="1:4" x14ac:dyDescent="0.25">
      <c r="A14" s="73" t="s">
        <v>30</v>
      </c>
      <c r="B14" s="14" t="s">
        <v>315</v>
      </c>
      <c r="C14" s="173"/>
      <c r="D14" s="167"/>
    </row>
    <row r="15" spans="1:4" x14ac:dyDescent="0.25">
      <c r="A15" s="102" t="s">
        <v>31</v>
      </c>
      <c r="B15" s="14" t="s">
        <v>315</v>
      </c>
      <c r="C15" s="105"/>
      <c r="D15" s="105"/>
    </row>
    <row r="16" spans="1:4" x14ac:dyDescent="0.25">
      <c r="A16" s="34"/>
      <c r="B16" s="15"/>
      <c r="C16" s="105"/>
      <c r="D16" s="15"/>
    </row>
    <row r="17" spans="1:4" x14ac:dyDescent="0.25">
      <c r="A17" s="168"/>
      <c r="B17" s="15"/>
      <c r="C17" s="105"/>
      <c r="D17" s="15"/>
    </row>
    <row r="18" spans="1:4" x14ac:dyDescent="0.25">
      <c r="A18" s="168"/>
      <c r="B18" s="15"/>
      <c r="C18" s="15"/>
      <c r="D18" s="22"/>
    </row>
    <row r="19" spans="1:4" x14ac:dyDescent="0.25">
      <c r="A19" s="49"/>
      <c r="B19" s="15"/>
      <c r="C19" s="15"/>
      <c r="D19" s="15"/>
    </row>
    <row r="20" spans="1:4" x14ac:dyDescent="0.25">
      <c r="A20" s="73"/>
      <c r="B20" s="15"/>
      <c r="C20" s="15"/>
      <c r="D20" s="22"/>
    </row>
    <row r="21" spans="1:4" x14ac:dyDescent="0.25">
      <c r="A21" s="74"/>
      <c r="B21" s="15"/>
      <c r="C21" s="105"/>
      <c r="D21" s="15"/>
    </row>
    <row r="22" spans="1:4" x14ac:dyDescent="0.25">
      <c r="A22" s="74"/>
      <c r="B22" s="165"/>
      <c r="C22" s="166"/>
      <c r="D22" s="15"/>
    </row>
    <row r="23" spans="1:4" x14ac:dyDescent="0.25">
      <c r="A23" s="15"/>
      <c r="B23" s="165"/>
      <c r="C23" s="166"/>
      <c r="D23" s="15"/>
    </row>
    <row r="24" spans="1:4" x14ac:dyDescent="0.25">
      <c r="A24" s="15"/>
      <c r="B24" s="165"/>
      <c r="C24" s="166"/>
      <c r="D24" s="15"/>
    </row>
    <row r="25" spans="1:4" x14ac:dyDescent="0.25">
      <c r="A25" s="15"/>
      <c r="B25" s="165"/>
      <c r="C25" s="166"/>
      <c r="D25" s="15"/>
    </row>
    <row r="26" spans="1:4" x14ac:dyDescent="0.25">
      <c r="A26" s="15"/>
      <c r="B26" s="165"/>
      <c r="C26" s="166"/>
      <c r="D26" s="15"/>
    </row>
    <row r="27" spans="1:4" x14ac:dyDescent="0.25">
      <c r="A27" s="15"/>
      <c r="B27" s="165"/>
      <c r="C27" s="166"/>
      <c r="D27" s="15"/>
    </row>
    <row r="28" spans="1:4" x14ac:dyDescent="0.25">
      <c r="A28" s="15"/>
      <c r="B28" s="165"/>
      <c r="C28" s="166"/>
      <c r="D28" s="15"/>
    </row>
    <row r="29" spans="1:4" x14ac:dyDescent="0.25">
      <c r="A29" s="15"/>
      <c r="B29" s="165"/>
      <c r="C29" s="166"/>
      <c r="D29" s="15"/>
    </row>
    <row r="30" spans="1:4" x14ac:dyDescent="0.25">
      <c r="A30" s="15"/>
      <c r="B30" s="165"/>
      <c r="C30" s="166"/>
      <c r="D30" s="15"/>
    </row>
  </sheetData>
  <protectedRanges>
    <protectedRange sqref="A19" name="SamOnly_1" securityDescriptor="O:WDG:WDD:(A;;CC;;;S-1-5-21-249263827-1212357926-315576832-1035433)"/>
    <protectedRange algorithmName="SHA-512" hashValue="21f8RCaaX0mBDEbChFx6QK86dW6kaFpj3yRcqfzL28q5YQcq9A07up9HGb4Kv1SYCZTV7q7/Z0FaqJB8JUZGwg==" saltValue="utKn3G5cSCY4gJ7aWeoLAA==" spinCount="100000" sqref="A10:A11" name="admin_1_1_1_2"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A7" name="admin_1_1_3"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A3:A6" name="admin_1_1_1_1_1" securityDescriptor="O:WDG:WDD:(A;;CC;;;S-1-5-21-249263827-1212357926-315576832-879671)(A;;CC;;;S-1-5-21-249263827-1212357926-315576832-1035433)(A;;CC;;;S-1-5-21-249263827-1212357926-315576832-924734)"/>
    <protectedRange sqref="A12 A16:A17" name="SamOnly_1_1" securityDescriptor="O:WDG:WDD:(A;;CC;;;S-1-5-21-249263827-1212357926-315576832-1035433)"/>
    <protectedRange algorithmName="SHA-512" hashValue="21f8RCaaX0mBDEbChFx6QK86dW6kaFpj3yRcqfzL28q5YQcq9A07up9HGb4Kv1SYCZTV7q7/Z0FaqJB8JUZGwg==" saltValue="utKn3G5cSCY4gJ7aWeoLAA==" spinCount="100000" sqref="A8" name="admin_1_1_3_1" securityDescriptor="O:WDG:WDD:(A;;CC;;;S-1-5-21-249263827-1212357926-315576832-879671)(A;;CC;;;S-1-5-21-249263827-1212357926-315576832-1035433)(A;;CC;;;S-1-5-21-249263827-1212357926-315576832-924734)"/>
  </protectedRanges>
  <autoFilter ref="A2:D22" xr:uid="{855064AF-EFF2-4582-BAA2-F28BF07EF784}"/>
  <mergeCells count="1">
    <mergeCell ref="A1:D1"/>
  </mergeCells>
  <dataValidations count="1">
    <dataValidation allowBlank="1" showErrorMessage="1" errorTitle="Invalid" error="Please select a valid entry" sqref="A12 A16:A19" xr:uid="{951D91BB-023F-4D60-A7E0-E6D7B6114911}"/>
  </dataValidations>
  <pageMargins left="0.7" right="0.7" top="0.75" bottom="0.75" header="0.3" footer="0.3"/>
  <pageSetup orientation="portrait" r:id="rId1"/>
  <headerFooter>
    <oddHeader>&amp;L&amp;"Calibri"&amp;10&amp;K0000FF [AMD Official Use Only - AMD Internal Distribution Only]&amp;1#_x000D_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A4B5A-E6B2-49C0-A07E-31BE57157FE3}">
  <sheetPr published="0" filterMode="1">
    <tabColor rgb="FF00B050"/>
  </sheetPr>
  <dimension ref="A1:AR113"/>
  <sheetViews>
    <sheetView tabSelected="1" zoomScale="70" zoomScaleNormal="70" workbookViewId="0">
      <pane xSplit="7" ySplit="5" topLeftCell="J6" activePane="bottomRight" state="frozen"/>
      <selection pane="topRight" activeCell="H1" sqref="H1"/>
      <selection pane="bottomLeft" activeCell="A6" sqref="A6"/>
      <selection pane="bottomRight" activeCell="G79" sqref="G79"/>
    </sheetView>
  </sheetViews>
  <sheetFormatPr defaultColWidth="8.42578125" defaultRowHeight="15" outlineLevelRow="1" outlineLevelCol="1" x14ac:dyDescent="0.25"/>
  <cols>
    <col min="1" max="1" width="10.42578125" customWidth="1" outlineLevel="1"/>
    <col min="2" max="2" width="10.42578125" customWidth="1"/>
    <col min="3" max="3" width="24.140625" customWidth="1"/>
    <col min="4" max="4" width="46.5703125" customWidth="1"/>
    <col min="5" max="5" width="15.42578125" customWidth="1" outlineLevel="1"/>
    <col min="6" max="6" width="20" customWidth="1" outlineLevel="1"/>
    <col min="7" max="7" width="19.5703125" bestFit="1" customWidth="1"/>
    <col min="8" max="11" width="6.42578125" customWidth="1"/>
    <col min="12" max="12" width="6.42578125" customWidth="1" outlineLevel="1"/>
    <col min="13" max="13" width="6.5703125" customWidth="1" outlineLevel="1"/>
    <col min="14" max="14" width="7" customWidth="1" outlineLevel="1"/>
    <col min="15" max="15" width="7.42578125" customWidth="1" outlineLevel="1"/>
    <col min="16" max="26" width="6.5703125" customWidth="1" outlineLevel="1"/>
    <col min="27" max="29" width="6.42578125" customWidth="1" outlineLevel="1"/>
    <col min="30" max="30" width="10.140625" customWidth="1" outlineLevel="1"/>
    <col min="31" max="35" width="6.42578125" customWidth="1" outlineLevel="1"/>
    <col min="36" max="36" width="11.42578125" bestFit="1" customWidth="1"/>
    <col min="37" max="37" width="9.42578125" customWidth="1"/>
    <col min="38" max="38" width="14.28515625" customWidth="1" outlineLevel="1"/>
    <col min="39" max="39" width="15.85546875" customWidth="1"/>
    <col min="40" max="40" width="16.42578125" customWidth="1"/>
    <col min="41" max="41" width="6.42578125" bestFit="1" customWidth="1"/>
    <col min="42" max="44" width="8.42578125" customWidth="1"/>
    <col min="45" max="45" width="67.5703125" customWidth="1"/>
    <col min="46" max="46" width="8.42578125" customWidth="1"/>
  </cols>
  <sheetData>
    <row r="1" spans="1:44" ht="19.5" customHeight="1" x14ac:dyDescent="0.25">
      <c r="A1" s="97" t="str">
        <f>_xlfn.XLOOKUP(AN2,Status,statusnote,"",0,1)</f>
        <v>Sizing is OPEN.  Please UPDATE your estimates for your teams in this sheet.  Also UPDATE the scope, assumptions and risks in the Assumptions tab.</v>
      </c>
      <c r="B1" s="98"/>
      <c r="C1" s="98"/>
      <c r="D1" s="37"/>
      <c r="E1" s="37"/>
      <c r="F1" s="37"/>
      <c r="G1" s="37"/>
      <c r="H1" s="95"/>
      <c r="I1" s="95"/>
      <c r="J1" s="95"/>
      <c r="K1" s="95"/>
      <c r="L1" s="95"/>
      <c r="M1" s="95"/>
      <c r="N1" s="95"/>
      <c r="O1" s="95"/>
      <c r="P1" s="95"/>
      <c r="Q1" s="95"/>
      <c r="R1" s="95"/>
      <c r="S1" s="96"/>
      <c r="T1" s="96"/>
      <c r="U1" s="96"/>
      <c r="V1" s="96"/>
      <c r="W1" s="38"/>
      <c r="X1" s="38"/>
      <c r="Y1" s="38"/>
      <c r="Z1" s="38"/>
      <c r="AA1" s="38"/>
      <c r="AB1" s="38"/>
      <c r="AC1" s="38"/>
      <c r="AD1" s="38"/>
      <c r="AE1" s="38"/>
      <c r="AF1" s="38"/>
      <c r="AG1" s="38"/>
      <c r="AH1" s="38"/>
      <c r="AI1" s="38"/>
      <c r="AJ1" s="38"/>
      <c r="AK1" s="38"/>
      <c r="AL1" s="38"/>
      <c r="AM1" s="39"/>
      <c r="AN1" s="200" t="s">
        <v>34</v>
      </c>
      <c r="AO1" s="201"/>
      <c r="AP1" s="40"/>
      <c r="AQ1" s="40"/>
      <c r="AR1" s="40"/>
    </row>
    <row r="2" spans="1:44" ht="75.75" customHeight="1" x14ac:dyDescent="0.25">
      <c r="A2" s="202" t="str" cm="1">
        <f t="array" aca="1" ref="A2" ca="1">MID(CELL("filename",A1),FIND("]",CELL("filename",A1))+1,256)</f>
        <v>Capitola C40 v1.0 r2 (PAVS)</v>
      </c>
      <c r="B2" s="202"/>
      <c r="C2" s="203"/>
      <c r="D2" s="204" t="s">
        <v>125</v>
      </c>
      <c r="E2" s="205"/>
      <c r="F2" s="205"/>
      <c r="G2" s="205"/>
      <c r="H2" s="41"/>
      <c r="I2" s="41"/>
      <c r="J2" s="41"/>
      <c r="K2" s="110"/>
      <c r="L2" s="110"/>
      <c r="M2" s="110"/>
      <c r="N2" s="110"/>
      <c r="O2" s="41"/>
      <c r="P2" s="41"/>
      <c r="Q2" s="41"/>
      <c r="R2" s="41"/>
      <c r="S2" s="41"/>
      <c r="T2" s="41"/>
      <c r="U2" s="41"/>
      <c r="V2" s="41"/>
      <c r="W2" s="41"/>
      <c r="X2" s="41"/>
      <c r="Y2" s="41"/>
      <c r="Z2" s="41"/>
      <c r="AA2" s="41"/>
      <c r="AB2" s="41"/>
      <c r="AC2" s="41"/>
      <c r="AD2" s="41"/>
      <c r="AE2" s="41"/>
      <c r="AF2" s="41"/>
      <c r="AG2" s="41"/>
      <c r="AH2" s="41"/>
      <c r="AI2" s="41"/>
      <c r="AJ2" s="109"/>
      <c r="AK2" s="109"/>
      <c r="AL2" s="109"/>
      <c r="AM2" s="109"/>
      <c r="AN2" s="206" t="s">
        <v>36</v>
      </c>
      <c r="AO2" s="207"/>
      <c r="AP2" s="20"/>
      <c r="AQ2" s="20"/>
      <c r="AR2" s="20"/>
    </row>
    <row r="3" spans="1:44" x14ac:dyDescent="0.25">
      <c r="A3" s="210" t="s">
        <v>37</v>
      </c>
      <c r="B3" s="211"/>
      <c r="C3" s="214">
        <v>46195</v>
      </c>
      <c r="D3" s="216" t="s">
        <v>38</v>
      </c>
      <c r="E3" s="217"/>
      <c r="F3" s="217"/>
      <c r="G3" s="217"/>
      <c r="H3" s="41"/>
      <c r="I3" s="41"/>
      <c r="J3" s="41"/>
      <c r="K3" s="110"/>
      <c r="L3" s="110" t="s">
        <v>39</v>
      </c>
      <c r="M3" s="110" t="s">
        <v>40</v>
      </c>
      <c r="N3" s="110" t="s">
        <v>41</v>
      </c>
      <c r="O3" s="110" t="s">
        <v>42</v>
      </c>
      <c r="P3" s="110" t="s">
        <v>43</v>
      </c>
      <c r="Q3" s="110" t="s">
        <v>44</v>
      </c>
      <c r="R3" s="110"/>
      <c r="S3" s="110"/>
      <c r="T3" s="110"/>
      <c r="U3" s="110"/>
      <c r="V3" s="110" t="s">
        <v>45</v>
      </c>
      <c r="W3" s="110"/>
      <c r="X3" s="41"/>
      <c r="Y3" s="41"/>
      <c r="Z3" s="41"/>
      <c r="AA3" s="41"/>
      <c r="AB3" s="41"/>
      <c r="AC3" s="41"/>
      <c r="AD3" s="41"/>
      <c r="AE3" s="41"/>
      <c r="AF3" s="41"/>
      <c r="AG3" s="41"/>
      <c r="AH3" s="41"/>
      <c r="AI3" s="41"/>
      <c r="AJ3" s="109"/>
      <c r="AK3" s="109"/>
      <c r="AL3" s="109"/>
      <c r="AM3" s="109"/>
      <c r="AN3" s="206"/>
      <c r="AO3" s="207"/>
      <c r="AP3" s="20"/>
      <c r="AQ3" s="20"/>
      <c r="AR3" s="20"/>
    </row>
    <row r="4" spans="1:44" ht="15.75" customHeight="1" x14ac:dyDescent="0.25">
      <c r="A4" s="212"/>
      <c r="B4" s="213"/>
      <c r="C4" s="215"/>
      <c r="D4" s="218" t="s">
        <v>46</v>
      </c>
      <c r="E4" s="219"/>
      <c r="F4" s="219"/>
      <c r="G4" s="220"/>
      <c r="H4" s="221">
        <v>2026</v>
      </c>
      <c r="I4" s="222"/>
      <c r="J4" s="222"/>
      <c r="K4" s="223"/>
      <c r="L4" s="221">
        <f>H4+1</f>
        <v>2027</v>
      </c>
      <c r="M4" s="222"/>
      <c r="N4" s="222"/>
      <c r="O4" s="223"/>
      <c r="P4" s="224">
        <f>L4+1</f>
        <v>2028</v>
      </c>
      <c r="Q4" s="224"/>
      <c r="R4" s="224"/>
      <c r="S4" s="224"/>
      <c r="T4" s="224">
        <f>P4+1</f>
        <v>2029</v>
      </c>
      <c r="U4" s="224"/>
      <c r="V4" s="224"/>
      <c r="W4" s="224"/>
      <c r="X4" s="224">
        <f>T4+1</f>
        <v>2030</v>
      </c>
      <c r="Y4" s="224"/>
      <c r="Z4" s="224"/>
      <c r="AA4" s="224"/>
      <c r="AB4" s="224">
        <f>X4+1</f>
        <v>2031</v>
      </c>
      <c r="AC4" s="224"/>
      <c r="AD4" s="224"/>
      <c r="AE4" s="224"/>
      <c r="AF4" s="224">
        <f>AB4+1</f>
        <v>2032</v>
      </c>
      <c r="AG4" s="224"/>
      <c r="AH4" s="224"/>
      <c r="AI4" s="224"/>
      <c r="AJ4" s="143">
        <f>SUBTOTAL(9,AJ6:AJ59)</f>
        <v>170.5</v>
      </c>
      <c r="AK4" s="144">
        <f>SUBTOTAL(9,AK6:AK59)</f>
        <v>24</v>
      </c>
      <c r="AL4" s="141">
        <f>AVERAGE(AL6:AL59)</f>
        <v>10286.083270903977</v>
      </c>
      <c r="AM4" s="142">
        <f>SUBTOTAL(9,AM6:AM59)</f>
        <v>4724862.1621879302</v>
      </c>
      <c r="AN4" s="208"/>
      <c r="AO4" s="209"/>
      <c r="AP4" s="20"/>
      <c r="AQ4" s="20"/>
      <c r="AR4" s="20"/>
    </row>
    <row r="5" spans="1:44" ht="33" customHeight="1" x14ac:dyDescent="0.25">
      <c r="A5" s="42" t="s">
        <v>47</v>
      </c>
      <c r="B5" s="42" t="s">
        <v>48</v>
      </c>
      <c r="C5" s="42" t="s">
        <v>49</v>
      </c>
      <c r="D5" s="43" t="s">
        <v>50</v>
      </c>
      <c r="E5" s="43" t="s">
        <v>51</v>
      </c>
      <c r="F5" s="42" t="s">
        <v>52</v>
      </c>
      <c r="G5" s="43" t="s">
        <v>53</v>
      </c>
      <c r="H5" s="44" t="str">
        <f>"Q1"&amp;RIGHT(H4,2)</f>
        <v>Q126</v>
      </c>
      <c r="I5" s="44" t="str">
        <f>"Q"&amp;MID(H5,2,1)+1&amp;RIGHT(H4,2)</f>
        <v>Q226</v>
      </c>
      <c r="J5" s="44" t="str">
        <f>"Q"&amp;MID(I5,2,1)+1&amp;RIGHT(H4,2)</f>
        <v>Q326</v>
      </c>
      <c r="K5" s="44" t="str">
        <f>"Q"&amp;MID(J5,2,1)+1&amp;RIGHT(H4,2)</f>
        <v>Q426</v>
      </c>
      <c r="L5" s="44" t="str">
        <f>"Q1"&amp;RIGHT(L4,2)</f>
        <v>Q127</v>
      </c>
      <c r="M5" s="44" t="str">
        <f>"Q"&amp;MID(L5,2,1)+1&amp;RIGHT(L4,2)</f>
        <v>Q227</v>
      </c>
      <c r="N5" s="44" t="str">
        <f>"Q"&amp;MID(M5,2,1)+1&amp;RIGHT(L4,2)</f>
        <v>Q327</v>
      </c>
      <c r="O5" s="44" t="str">
        <f>"Q"&amp;MID(N5,2,1)+1&amp;RIGHT(L4,2)</f>
        <v>Q427</v>
      </c>
      <c r="P5" s="44" t="str">
        <f>"Q1"&amp;RIGHT(P4,2)</f>
        <v>Q128</v>
      </c>
      <c r="Q5" s="44" t="str">
        <f>"Q"&amp;MID(P5,2,1)+1&amp;RIGHT(P4,2)</f>
        <v>Q228</v>
      </c>
      <c r="R5" s="44" t="str">
        <f>"Q"&amp;MID(Q5,2,1)+1&amp;RIGHT(P4,2)</f>
        <v>Q328</v>
      </c>
      <c r="S5" s="44" t="str">
        <f>"Q"&amp;MID(R5,2,1)+1&amp;RIGHT(P4,2)</f>
        <v>Q428</v>
      </c>
      <c r="T5" s="44" t="str">
        <f>"Q1"&amp;RIGHT(T4,2)</f>
        <v>Q129</v>
      </c>
      <c r="U5" s="44" t="str">
        <f>"Q"&amp;MID(T5,2,1)+1&amp;RIGHT(T4,2)</f>
        <v>Q229</v>
      </c>
      <c r="V5" s="44" t="str">
        <f>"Q"&amp;MID(U5,2,1)+1&amp;RIGHT(T4,2)</f>
        <v>Q329</v>
      </c>
      <c r="W5" s="44" t="str">
        <f>"Q"&amp;MID(V5,2,1)+1&amp;RIGHT(T4,2)</f>
        <v>Q429</v>
      </c>
      <c r="X5" s="44" t="str">
        <f>"Q1"&amp;RIGHT(X4,2)</f>
        <v>Q130</v>
      </c>
      <c r="Y5" s="44" t="str">
        <f>"Q"&amp;MID(X5,2,1)+1&amp;RIGHT(X4,2)</f>
        <v>Q230</v>
      </c>
      <c r="Z5" s="44" t="str">
        <f>"Q"&amp;MID(Y5,2,1)+1&amp;RIGHT(X4,2)</f>
        <v>Q330</v>
      </c>
      <c r="AA5" s="44" t="str">
        <f>"Q"&amp;MID(Z5,2,1)+1&amp;RIGHT(X4,2)</f>
        <v>Q430</v>
      </c>
      <c r="AB5" s="44" t="str">
        <f>"Q1"&amp;RIGHT(AB4,2)</f>
        <v>Q131</v>
      </c>
      <c r="AC5" s="44" t="str">
        <f>"Q"&amp;MID(AB5,2,1)+1&amp;RIGHT(AB4,2)</f>
        <v>Q231</v>
      </c>
      <c r="AD5" s="44" t="str">
        <f>"Q"&amp;MID(AC5,2,1)+1&amp;RIGHT(AB4,2)</f>
        <v>Q331</v>
      </c>
      <c r="AE5" s="44" t="str">
        <f>"Q"&amp;MID(AD5,2,1)+1&amp;RIGHT(AB4,2)</f>
        <v>Q431</v>
      </c>
      <c r="AF5" s="44" t="str">
        <f>"Q1"&amp;RIGHT(AF4,2)</f>
        <v>Q132</v>
      </c>
      <c r="AG5" s="44" t="str">
        <f>"Q"&amp;MID(AF5,2,1)+1&amp;RIGHT(AF4,2)</f>
        <v>Q232</v>
      </c>
      <c r="AH5" s="44" t="str">
        <f>"Q"&amp;MID(AG5,2,1)+1&amp;RIGHT(AF4,2)</f>
        <v>Q332</v>
      </c>
      <c r="AI5" s="44" t="str">
        <f>"Q"&amp;MID(AH5,2,1)+1&amp;RIGHT(AF4,2)</f>
        <v>Q432</v>
      </c>
      <c r="AJ5" s="45" t="s">
        <v>54</v>
      </c>
      <c r="AK5" s="45" t="s">
        <v>55</v>
      </c>
      <c r="AL5" s="148" t="s">
        <v>56</v>
      </c>
      <c r="AM5" s="148" t="s">
        <v>57</v>
      </c>
      <c r="AN5" s="46" t="s">
        <v>58</v>
      </c>
      <c r="AO5" s="47" t="s">
        <v>59</v>
      </c>
      <c r="AP5" s="48"/>
      <c r="AQ5" s="48"/>
      <c r="AR5" s="48"/>
    </row>
    <row r="6" spans="1:44" hidden="1" x14ac:dyDescent="0.25">
      <c r="A6" s="53" t="str" cm="1">
        <f t="array" aca="1" ref="A6" ca="1">IFERROR(IF(AM6&gt;0,IF(_xlfn.XLOOKUP(F6,INDIRECT(B6),INDIRECT(B6),"NO")="NO","",_xlfn.XLOOKUP($C6,LUT!$B$3:$B$200,LUT!$D$3:$D$200,"")&amp;""),""),"")</f>
        <v>ATG</v>
      </c>
      <c r="B6" s="54" t="s">
        <v>60</v>
      </c>
      <c r="C6" s="56" t="s">
        <v>126</v>
      </c>
      <c r="D6" s="88" t="s">
        <v>127</v>
      </c>
      <c r="E6" s="88" t="s">
        <v>63</v>
      </c>
      <c r="F6" s="55" t="s">
        <v>128</v>
      </c>
      <c r="G6" s="101" t="s">
        <v>65</v>
      </c>
      <c r="H6" s="117"/>
      <c r="I6" s="117"/>
      <c r="J6" s="117"/>
      <c r="K6" s="117"/>
      <c r="L6" s="117">
        <v>1</v>
      </c>
      <c r="M6" s="117">
        <v>1</v>
      </c>
      <c r="N6" s="117">
        <v>1</v>
      </c>
      <c r="O6" s="117">
        <v>1</v>
      </c>
      <c r="P6" s="117">
        <v>1</v>
      </c>
      <c r="Q6" s="117">
        <v>1</v>
      </c>
      <c r="R6" s="117">
        <v>1</v>
      </c>
      <c r="S6" s="117">
        <v>1</v>
      </c>
      <c r="T6" s="117">
        <v>1</v>
      </c>
      <c r="U6" s="117">
        <v>1</v>
      </c>
      <c r="V6" s="117">
        <v>1</v>
      </c>
      <c r="W6" s="117">
        <v>1</v>
      </c>
      <c r="X6" s="117"/>
      <c r="Y6" s="117"/>
      <c r="Z6" s="117"/>
      <c r="AA6" s="117"/>
      <c r="AB6" s="117"/>
      <c r="AC6" s="117"/>
      <c r="AD6" s="117"/>
      <c r="AE6" s="117"/>
      <c r="AF6" s="117"/>
      <c r="AG6" s="117"/>
      <c r="AH6" s="117"/>
      <c r="AI6" s="117"/>
      <c r="AJ6" s="118">
        <f t="shared" ref="AJ6:AJ41" si="0">SUM(H6:AI6)</f>
        <v>12</v>
      </c>
      <c r="AK6" s="119">
        <f t="shared" ref="AK6:AK41" si="1">MAX(H6:AI6)</f>
        <v>1</v>
      </c>
      <c r="AL6" s="129">
        <f t="shared" ref="AL6:AL41" si="2">_xlfn.XLOOKUP(E6,Location,labour,0)</f>
        <v>30138.249515086281</v>
      </c>
      <c r="AM6" s="128">
        <f t="shared" ref="AM6:AM41" si="3">AL6*AJ6</f>
        <v>361658.99418103538</v>
      </c>
      <c r="AN6" s="50"/>
      <c r="AO6" s="51" t="str">
        <f ca="1">IF($AM6&gt;0,IF(AND($G6&lt;&gt;"",$F6&lt;&gt;"",$A6&lt;&gt;"",$B6&lt;&gt;"",$C6&lt;&gt;""),"","Check"),"")</f>
        <v/>
      </c>
      <c r="AP6" s="21"/>
      <c r="AQ6" s="52"/>
    </row>
    <row r="7" spans="1:44" hidden="1" x14ac:dyDescent="0.25">
      <c r="A7" s="53" t="str" cm="1">
        <f t="array" aca="1" ref="A7" ca="1">IFERROR(IF(AM7&gt;0,IF(_xlfn.XLOOKUP(F7,INDIRECT(B7),INDIRECT(B7),"NO")="NO","",_xlfn.XLOOKUP($C7,LUT!$B$3:$B$200,LUT!$D$3:$D$200,"")&amp;""),""),"")</f>
        <v>ATG</v>
      </c>
      <c r="B7" s="54" t="s">
        <v>60</v>
      </c>
      <c r="C7" s="56" t="s">
        <v>126</v>
      </c>
      <c r="D7" s="88" t="s">
        <v>129</v>
      </c>
      <c r="E7" s="88" t="s">
        <v>63</v>
      </c>
      <c r="F7" s="55" t="s">
        <v>128</v>
      </c>
      <c r="G7" s="101" t="s">
        <v>65</v>
      </c>
      <c r="H7" s="117"/>
      <c r="I7" s="117"/>
      <c r="J7" s="117"/>
      <c r="K7" s="117"/>
      <c r="L7" s="117">
        <v>1</v>
      </c>
      <c r="M7" s="117">
        <v>1</v>
      </c>
      <c r="N7" s="117">
        <v>1</v>
      </c>
      <c r="O7" s="117">
        <v>1</v>
      </c>
      <c r="P7" s="117">
        <v>1</v>
      </c>
      <c r="Q7" s="117">
        <v>1</v>
      </c>
      <c r="R7" s="117">
        <v>1</v>
      </c>
      <c r="S7" s="117">
        <v>1</v>
      </c>
      <c r="T7" s="117">
        <v>1</v>
      </c>
      <c r="U7" s="117">
        <v>1</v>
      </c>
      <c r="V7" s="117">
        <v>1</v>
      </c>
      <c r="W7" s="117">
        <v>1</v>
      </c>
      <c r="X7" s="117"/>
      <c r="Y7" s="117"/>
      <c r="Z7" s="117"/>
      <c r="AA7" s="117"/>
      <c r="AB7" s="117"/>
      <c r="AC7" s="117"/>
      <c r="AD7" s="117"/>
      <c r="AE7" s="117"/>
      <c r="AF7" s="117"/>
      <c r="AG7" s="117"/>
      <c r="AH7" s="117"/>
      <c r="AI7" s="117"/>
      <c r="AJ7" s="118">
        <f t="shared" si="0"/>
        <v>12</v>
      </c>
      <c r="AK7" s="119">
        <f t="shared" si="1"/>
        <v>1</v>
      </c>
      <c r="AL7" s="129">
        <f t="shared" si="2"/>
        <v>30138.249515086281</v>
      </c>
      <c r="AM7" s="128">
        <f t="shared" si="3"/>
        <v>361658.99418103538</v>
      </c>
      <c r="AN7" s="50"/>
      <c r="AO7" s="51" t="str">
        <f ca="1">IF($AM7&gt;0,IF(AND($G7&lt;&gt;"",$F7&lt;&gt;"",$A7&lt;&gt;"",$B7&lt;&gt;"",$C7&lt;&gt;""),"","Check"),"")</f>
        <v/>
      </c>
      <c r="AP7" s="21"/>
      <c r="AQ7" s="52"/>
    </row>
    <row r="8" spans="1:44" hidden="1" x14ac:dyDescent="0.25">
      <c r="A8" s="53" t="str" cm="1">
        <f t="array" aca="1" ref="A8" ca="1">IFERROR(IF(AM8&gt;0,IF(_xlfn.XLOOKUP(F8,INDIRECT(B8),INDIRECT(B8),"NO")="NO","",_xlfn.XLOOKUP($C8,LUT!$B$3:$B$200,LUT!$D$3:$D$200,"")&amp;""),""),"")</f>
        <v>ATG</v>
      </c>
      <c r="B8" s="54" t="s">
        <v>60</v>
      </c>
      <c r="C8" s="56" t="s">
        <v>126</v>
      </c>
      <c r="D8" s="88" t="s">
        <v>130</v>
      </c>
      <c r="E8" s="88" t="s">
        <v>63</v>
      </c>
      <c r="F8" s="55" t="s">
        <v>128</v>
      </c>
      <c r="G8" s="101" t="s">
        <v>65</v>
      </c>
      <c r="H8" s="117"/>
      <c r="I8" s="117"/>
      <c r="J8" s="117"/>
      <c r="K8" s="117"/>
      <c r="L8" s="117"/>
      <c r="M8" s="117">
        <v>2</v>
      </c>
      <c r="N8" s="117">
        <v>4</v>
      </c>
      <c r="O8" s="117">
        <v>4</v>
      </c>
      <c r="P8" s="117">
        <v>4</v>
      </c>
      <c r="Q8" s="117">
        <v>4</v>
      </c>
      <c r="R8" s="117">
        <v>4</v>
      </c>
      <c r="S8" s="117">
        <v>4</v>
      </c>
      <c r="T8" s="117">
        <v>4</v>
      </c>
      <c r="U8" s="117">
        <v>4</v>
      </c>
      <c r="V8" s="117">
        <v>4</v>
      </c>
      <c r="W8" s="117">
        <v>2</v>
      </c>
      <c r="X8" s="117"/>
      <c r="Y8" s="117"/>
      <c r="Z8" s="117"/>
      <c r="AA8" s="117"/>
      <c r="AB8" s="117"/>
      <c r="AC8" s="117"/>
      <c r="AD8" s="117"/>
      <c r="AE8" s="117"/>
      <c r="AF8" s="117"/>
      <c r="AG8" s="117"/>
      <c r="AH8" s="117"/>
      <c r="AI8" s="117"/>
      <c r="AJ8" s="118">
        <f t="shared" si="0"/>
        <v>40</v>
      </c>
      <c r="AK8" s="119">
        <f t="shared" si="1"/>
        <v>4</v>
      </c>
      <c r="AL8" s="129">
        <f t="shared" si="2"/>
        <v>30138.249515086281</v>
      </c>
      <c r="AM8" s="128">
        <f t="shared" si="3"/>
        <v>1205529.9806034514</v>
      </c>
      <c r="AN8" s="50"/>
      <c r="AO8" s="51" t="str">
        <f ca="1">IF($AM8&gt;0,IF(AND($G8&lt;&gt;"",$F8&lt;&gt;"",$A8&lt;&gt;"",$B8&lt;&gt;"",$C8&lt;&gt;""),"","Check"),"")</f>
        <v/>
      </c>
      <c r="AP8" s="21"/>
      <c r="AQ8" s="52"/>
    </row>
    <row r="9" spans="1:44" hidden="1" x14ac:dyDescent="0.25">
      <c r="A9" s="53" t="str" cm="1">
        <f t="array" aca="1" ref="A9" ca="1">IFERROR(IF(AM9&gt;0,IF(_xlfn.XLOOKUP(F9,INDIRECT(B9),INDIRECT(B9),"NO")="NO","",_xlfn.XLOOKUP($C9,LUT!$B$3:$B$200,LUT!$D$3:$D$200,"")&amp;""),""),"")</f>
        <v>ATG</v>
      </c>
      <c r="B9" s="54" t="s">
        <v>60</v>
      </c>
      <c r="C9" s="56" t="s">
        <v>126</v>
      </c>
      <c r="D9" s="88" t="s">
        <v>131</v>
      </c>
      <c r="E9" s="88" t="s">
        <v>63</v>
      </c>
      <c r="F9" s="55" t="s">
        <v>128</v>
      </c>
      <c r="G9" s="101" t="s">
        <v>65</v>
      </c>
      <c r="H9" s="117"/>
      <c r="I9" s="117"/>
      <c r="J9" s="117"/>
      <c r="K9" s="117"/>
      <c r="L9" s="117">
        <v>1</v>
      </c>
      <c r="M9" s="117">
        <v>1</v>
      </c>
      <c r="N9" s="117">
        <v>2</v>
      </c>
      <c r="O9" s="117">
        <v>2</v>
      </c>
      <c r="P9" s="117">
        <v>2</v>
      </c>
      <c r="Q9" s="117">
        <v>4</v>
      </c>
      <c r="R9" s="117">
        <v>4</v>
      </c>
      <c r="S9" s="117">
        <v>4</v>
      </c>
      <c r="T9" s="117">
        <v>4</v>
      </c>
      <c r="U9" s="117">
        <v>3</v>
      </c>
      <c r="V9" s="117">
        <v>2</v>
      </c>
      <c r="W9" s="117">
        <v>2</v>
      </c>
      <c r="X9" s="117"/>
      <c r="Y9" s="117"/>
      <c r="Z9" s="117"/>
      <c r="AA9" s="117"/>
      <c r="AB9" s="117"/>
      <c r="AC9" s="117"/>
      <c r="AD9" s="117"/>
      <c r="AE9" s="117"/>
      <c r="AF9" s="117"/>
      <c r="AG9" s="117"/>
      <c r="AH9" s="117"/>
      <c r="AI9" s="117"/>
      <c r="AJ9" s="118">
        <f t="shared" si="0"/>
        <v>31</v>
      </c>
      <c r="AK9" s="119">
        <f t="shared" si="1"/>
        <v>4</v>
      </c>
      <c r="AL9" s="129">
        <f t="shared" si="2"/>
        <v>30138.249515086281</v>
      </c>
      <c r="AM9" s="128">
        <f t="shared" si="3"/>
        <v>934285.73496767471</v>
      </c>
      <c r="AN9" s="50"/>
      <c r="AO9" s="51"/>
      <c r="AP9" s="21"/>
      <c r="AQ9" s="52"/>
    </row>
    <row r="10" spans="1:44" hidden="1" x14ac:dyDescent="0.25">
      <c r="A10" s="53" t="str" cm="1">
        <f t="array" aca="1" ref="A10" ca="1">IFERROR(IF(AM10&gt;0,IF(_xlfn.XLOOKUP(F10,INDIRECT(B10),INDIRECT(B10),"NO")="NO","",_xlfn.XLOOKUP($C10,LUT!$B$3:$B$200,LUT!$D$3:$D$200,"")&amp;""),""),"")</f>
        <v>ATG</v>
      </c>
      <c r="B10" s="54" t="s">
        <v>60</v>
      </c>
      <c r="C10" s="56" t="s">
        <v>126</v>
      </c>
      <c r="D10" s="88" t="s">
        <v>132</v>
      </c>
      <c r="E10" s="88" t="s">
        <v>63</v>
      </c>
      <c r="F10" s="55" t="s">
        <v>128</v>
      </c>
      <c r="G10" s="101" t="s">
        <v>65</v>
      </c>
      <c r="H10" s="117"/>
      <c r="I10" s="117"/>
      <c r="J10" s="117"/>
      <c r="K10" s="117"/>
      <c r="L10" s="117">
        <v>1</v>
      </c>
      <c r="M10" s="117">
        <v>1</v>
      </c>
      <c r="N10" s="117">
        <v>2</v>
      </c>
      <c r="O10" s="117">
        <v>2</v>
      </c>
      <c r="P10" s="117">
        <v>2</v>
      </c>
      <c r="Q10" s="117">
        <v>3</v>
      </c>
      <c r="R10" s="117">
        <v>3</v>
      </c>
      <c r="S10" s="117">
        <v>3</v>
      </c>
      <c r="T10" s="117">
        <v>3</v>
      </c>
      <c r="U10" s="117">
        <v>3</v>
      </c>
      <c r="V10" s="117">
        <v>2</v>
      </c>
      <c r="W10" s="117">
        <v>2</v>
      </c>
      <c r="X10" s="117"/>
      <c r="Y10" s="117"/>
      <c r="Z10" s="117"/>
      <c r="AA10" s="117"/>
      <c r="AB10" s="117"/>
      <c r="AC10" s="117"/>
      <c r="AD10" s="117"/>
      <c r="AE10" s="117"/>
      <c r="AF10" s="117"/>
      <c r="AG10" s="117"/>
      <c r="AH10" s="117"/>
      <c r="AI10" s="117"/>
      <c r="AJ10" s="118">
        <f t="shared" si="0"/>
        <v>27</v>
      </c>
      <c r="AK10" s="119">
        <f t="shared" si="1"/>
        <v>3</v>
      </c>
      <c r="AL10" s="129">
        <f t="shared" si="2"/>
        <v>30138.249515086281</v>
      </c>
      <c r="AM10" s="128">
        <f t="shared" si="3"/>
        <v>813732.73690732964</v>
      </c>
      <c r="AN10" s="50"/>
      <c r="AO10" s="51"/>
      <c r="AP10" s="21"/>
      <c r="AQ10" s="52"/>
    </row>
    <row r="11" spans="1:44" hidden="1" x14ac:dyDescent="0.25">
      <c r="A11" s="53" t="str" cm="1">
        <f t="array" aca="1" ref="A11" ca="1">IFERROR(IF(AM11&gt;0,IF(_xlfn.XLOOKUP(F11,INDIRECT(B11),INDIRECT(B11),"NO")="NO","",_xlfn.XLOOKUP($C11,LUT!$B$3:$B$200,LUT!$D$3:$D$200,"")&amp;""),""),"")</f>
        <v>ATG</v>
      </c>
      <c r="B11" s="54" t="s">
        <v>60</v>
      </c>
      <c r="C11" s="56" t="s">
        <v>126</v>
      </c>
      <c r="D11" s="88" t="s">
        <v>133</v>
      </c>
      <c r="E11" s="88" t="s">
        <v>63</v>
      </c>
      <c r="F11" s="55" t="s">
        <v>128</v>
      </c>
      <c r="G11" s="101" t="s">
        <v>65</v>
      </c>
      <c r="H11" s="117"/>
      <c r="I11" s="117"/>
      <c r="J11" s="117"/>
      <c r="K11" s="117"/>
      <c r="L11" s="117"/>
      <c r="M11" s="117">
        <v>1</v>
      </c>
      <c r="N11" s="117">
        <v>1</v>
      </c>
      <c r="O11" s="117">
        <v>2</v>
      </c>
      <c r="P11" s="117">
        <v>2</v>
      </c>
      <c r="Q11" s="117">
        <v>2</v>
      </c>
      <c r="R11" s="117">
        <v>2</v>
      </c>
      <c r="S11" s="117">
        <v>2</v>
      </c>
      <c r="T11" s="117">
        <v>2</v>
      </c>
      <c r="U11" s="117">
        <v>2</v>
      </c>
      <c r="V11" s="117">
        <v>2</v>
      </c>
      <c r="W11" s="117">
        <v>1</v>
      </c>
      <c r="X11" s="117"/>
      <c r="Y11" s="117"/>
      <c r="Z11" s="117"/>
      <c r="AA11" s="117"/>
      <c r="AB11" s="117"/>
      <c r="AC11" s="117"/>
      <c r="AD11" s="117"/>
      <c r="AE11" s="117"/>
      <c r="AF11" s="117"/>
      <c r="AG11" s="117"/>
      <c r="AH11" s="117"/>
      <c r="AI11" s="117"/>
      <c r="AJ11" s="118">
        <f t="shared" si="0"/>
        <v>19</v>
      </c>
      <c r="AK11" s="119">
        <f t="shared" si="1"/>
        <v>2</v>
      </c>
      <c r="AL11" s="129">
        <f t="shared" si="2"/>
        <v>30138.249515086281</v>
      </c>
      <c r="AM11" s="128">
        <f t="shared" si="3"/>
        <v>572626.74078663939</v>
      </c>
      <c r="AN11" s="50"/>
      <c r="AO11" s="51"/>
      <c r="AP11" s="21"/>
      <c r="AQ11" s="52"/>
    </row>
    <row r="12" spans="1:44" hidden="1" x14ac:dyDescent="0.25">
      <c r="A12" s="53" t="str" cm="1">
        <f t="array" aca="1" ref="A12" ca="1">IFERROR(IF(AM12&gt;0,IF(_xlfn.XLOOKUP(F12,INDIRECT(B12),INDIRECT(B12),"NO")="NO","",_xlfn.XLOOKUP($C12,LUT!$B$3:$B$200,LUT!$D$3:$D$200,"")&amp;""),""),"")</f>
        <v>ATG</v>
      </c>
      <c r="B12" s="54" t="s">
        <v>60</v>
      </c>
      <c r="C12" s="56" t="s">
        <v>126</v>
      </c>
      <c r="D12" s="88" t="s">
        <v>134</v>
      </c>
      <c r="E12" s="88" t="s">
        <v>63</v>
      </c>
      <c r="F12" s="55" t="s">
        <v>128</v>
      </c>
      <c r="G12" s="101" t="s">
        <v>65</v>
      </c>
      <c r="H12" s="117"/>
      <c r="I12" s="117"/>
      <c r="J12" s="117"/>
      <c r="K12" s="117"/>
      <c r="L12" s="117"/>
      <c r="M12" s="117">
        <v>1</v>
      </c>
      <c r="N12" s="117">
        <v>1</v>
      </c>
      <c r="O12" s="117">
        <v>2</v>
      </c>
      <c r="P12" s="117">
        <v>2</v>
      </c>
      <c r="Q12" s="117">
        <v>2</v>
      </c>
      <c r="R12" s="117">
        <v>2</v>
      </c>
      <c r="S12" s="117">
        <v>2</v>
      </c>
      <c r="T12" s="117">
        <v>2</v>
      </c>
      <c r="U12" s="117">
        <v>2</v>
      </c>
      <c r="V12" s="117">
        <v>2</v>
      </c>
      <c r="W12" s="117">
        <v>1</v>
      </c>
      <c r="X12" s="117"/>
      <c r="Y12" s="117"/>
      <c r="Z12" s="117"/>
      <c r="AA12" s="117"/>
      <c r="AB12" s="117"/>
      <c r="AC12" s="117"/>
      <c r="AD12" s="117"/>
      <c r="AE12" s="117"/>
      <c r="AF12" s="117"/>
      <c r="AG12" s="117"/>
      <c r="AH12" s="117"/>
      <c r="AI12" s="117"/>
      <c r="AJ12" s="118">
        <f t="shared" si="0"/>
        <v>19</v>
      </c>
      <c r="AK12" s="119">
        <f t="shared" si="1"/>
        <v>2</v>
      </c>
      <c r="AL12" s="129">
        <f t="shared" si="2"/>
        <v>30138.249515086281</v>
      </c>
      <c r="AM12" s="128">
        <f t="shared" si="3"/>
        <v>572626.74078663939</v>
      </c>
      <c r="AN12" s="50"/>
      <c r="AO12" s="51"/>
      <c r="AP12" s="21"/>
      <c r="AQ12" s="52"/>
    </row>
    <row r="13" spans="1:44" hidden="1" x14ac:dyDescent="0.25">
      <c r="A13" s="53" t="str" cm="1">
        <f t="array" aca="1" ref="A13" ca="1">IFERROR(IF(AM13&gt;0,IF(_xlfn.XLOOKUP(F13,INDIRECT(B13),INDIRECT(B13),"NO")="NO","",_xlfn.XLOOKUP($C13,LUT!$B$3:$B$200,LUT!$D$3:$D$200,"")&amp;""),""),"")</f>
        <v>ATG</v>
      </c>
      <c r="B13" s="54" t="s">
        <v>60</v>
      </c>
      <c r="C13" s="56" t="s">
        <v>126</v>
      </c>
      <c r="D13" s="88" t="s">
        <v>135</v>
      </c>
      <c r="E13" s="88" t="s">
        <v>63</v>
      </c>
      <c r="F13" s="55" t="s">
        <v>128</v>
      </c>
      <c r="G13" s="101" t="s">
        <v>65</v>
      </c>
      <c r="H13" s="117"/>
      <c r="I13" s="117"/>
      <c r="J13" s="117"/>
      <c r="K13" s="117"/>
      <c r="L13" s="117">
        <v>1</v>
      </c>
      <c r="M13" s="117">
        <v>2</v>
      </c>
      <c r="N13" s="117">
        <v>4</v>
      </c>
      <c r="O13" s="117">
        <v>6</v>
      </c>
      <c r="P13" s="117">
        <v>4</v>
      </c>
      <c r="Q13" s="117">
        <v>8</v>
      </c>
      <c r="R13" s="117">
        <v>8</v>
      </c>
      <c r="S13" s="117">
        <v>8</v>
      </c>
      <c r="T13" s="117">
        <v>8</v>
      </c>
      <c r="U13" s="117">
        <v>6</v>
      </c>
      <c r="V13" s="117">
        <v>6</v>
      </c>
      <c r="W13" s="117">
        <v>4</v>
      </c>
      <c r="X13" s="117"/>
      <c r="Y13" s="117"/>
      <c r="Z13" s="117"/>
      <c r="AA13" s="117"/>
      <c r="AB13" s="117"/>
      <c r="AC13" s="117"/>
      <c r="AD13" s="117"/>
      <c r="AE13" s="117"/>
      <c r="AF13" s="117"/>
      <c r="AG13" s="117"/>
      <c r="AH13" s="117"/>
      <c r="AI13" s="117"/>
      <c r="AJ13" s="118">
        <f t="shared" si="0"/>
        <v>65</v>
      </c>
      <c r="AK13" s="119">
        <f t="shared" si="1"/>
        <v>8</v>
      </c>
      <c r="AL13" s="129">
        <f t="shared" si="2"/>
        <v>30138.249515086281</v>
      </c>
      <c r="AM13" s="128">
        <f t="shared" si="3"/>
        <v>1958986.2184806082</v>
      </c>
      <c r="AN13" s="50"/>
      <c r="AO13" s="51"/>
      <c r="AP13" s="21"/>
      <c r="AQ13" s="52"/>
    </row>
    <row r="14" spans="1:44" hidden="1" x14ac:dyDescent="0.25">
      <c r="A14" s="53" t="str" cm="1">
        <f t="array" aca="1" ref="A14" ca="1">IFERROR(IF(AM14&gt;0,IF(_xlfn.XLOOKUP(F14,INDIRECT(B14),INDIRECT(B14),"NO")="NO","",_xlfn.XLOOKUP($C14,LUT!$B$3:$B$200,LUT!$D$3:$D$200,"")&amp;""),""),"")</f>
        <v>ATG</v>
      </c>
      <c r="B14" s="54" t="s">
        <v>60</v>
      </c>
      <c r="C14" s="56" t="s">
        <v>126</v>
      </c>
      <c r="D14" s="88" t="s">
        <v>136</v>
      </c>
      <c r="E14" s="88" t="s">
        <v>63</v>
      </c>
      <c r="F14" s="55" t="s">
        <v>128</v>
      </c>
      <c r="G14" s="101" t="s">
        <v>65</v>
      </c>
      <c r="H14" s="117"/>
      <c r="I14" s="117"/>
      <c r="J14" s="117"/>
      <c r="K14" s="117"/>
      <c r="L14" s="117">
        <v>1</v>
      </c>
      <c r="M14" s="117">
        <v>2</v>
      </c>
      <c r="N14" s="117">
        <v>2</v>
      </c>
      <c r="O14" s="117">
        <v>2</v>
      </c>
      <c r="P14" s="117">
        <v>4</v>
      </c>
      <c r="Q14" s="117">
        <v>4</v>
      </c>
      <c r="R14" s="117">
        <v>4</v>
      </c>
      <c r="S14" s="117">
        <v>4</v>
      </c>
      <c r="T14" s="117">
        <v>4</v>
      </c>
      <c r="U14" s="117">
        <v>4</v>
      </c>
      <c r="V14" s="117">
        <v>2</v>
      </c>
      <c r="W14" s="117">
        <v>2</v>
      </c>
      <c r="X14" s="117"/>
      <c r="Y14" s="117"/>
      <c r="Z14" s="117"/>
      <c r="AA14" s="117"/>
      <c r="AB14" s="117"/>
      <c r="AC14" s="117"/>
      <c r="AD14" s="117"/>
      <c r="AE14" s="117"/>
      <c r="AF14" s="117"/>
      <c r="AG14" s="117"/>
      <c r="AH14" s="117"/>
      <c r="AI14" s="117"/>
      <c r="AJ14" s="118">
        <f t="shared" si="0"/>
        <v>35</v>
      </c>
      <c r="AK14" s="119">
        <f t="shared" si="1"/>
        <v>4</v>
      </c>
      <c r="AL14" s="129">
        <f t="shared" si="2"/>
        <v>30138.249515086281</v>
      </c>
      <c r="AM14" s="128">
        <f t="shared" si="3"/>
        <v>1054838.7330280198</v>
      </c>
      <c r="AN14" s="50"/>
      <c r="AO14" s="51"/>
      <c r="AP14" s="21"/>
      <c r="AQ14" s="52"/>
    </row>
    <row r="15" spans="1:44" hidden="1" x14ac:dyDescent="0.25">
      <c r="A15" s="53" t="str" cm="1">
        <f t="array" aca="1" ref="A15" ca="1">IFERROR(IF(AM15&gt;0,IF(_xlfn.XLOOKUP(F15,INDIRECT(B15),INDIRECT(B15),"NO")="NO","",_xlfn.XLOOKUP($C15,LUT!$B$3:$B$200,LUT!$D$3:$D$200,"")&amp;""),""),"")</f>
        <v>ATG</v>
      </c>
      <c r="B15" s="54" t="s">
        <v>60</v>
      </c>
      <c r="C15" s="56" t="s">
        <v>126</v>
      </c>
      <c r="D15" s="88" t="s">
        <v>137</v>
      </c>
      <c r="E15" s="88" t="s">
        <v>63</v>
      </c>
      <c r="F15" s="55" t="s">
        <v>128</v>
      </c>
      <c r="G15" s="101" t="s">
        <v>65</v>
      </c>
      <c r="H15" s="117"/>
      <c r="I15" s="117"/>
      <c r="J15" s="117"/>
      <c r="K15" s="117"/>
      <c r="L15" s="117">
        <v>1</v>
      </c>
      <c r="M15" s="117">
        <v>1</v>
      </c>
      <c r="N15" s="117">
        <v>1</v>
      </c>
      <c r="O15" s="117">
        <v>1</v>
      </c>
      <c r="P15" s="117">
        <v>1</v>
      </c>
      <c r="Q15" s="117">
        <v>1</v>
      </c>
      <c r="R15" s="117">
        <v>1</v>
      </c>
      <c r="S15" s="117">
        <v>1</v>
      </c>
      <c r="T15" s="117">
        <v>1</v>
      </c>
      <c r="U15" s="117">
        <v>1</v>
      </c>
      <c r="V15" s="117">
        <v>1</v>
      </c>
      <c r="W15" s="117">
        <v>1</v>
      </c>
      <c r="X15" s="117"/>
      <c r="Y15" s="117"/>
      <c r="Z15" s="117"/>
      <c r="AA15" s="117"/>
      <c r="AB15" s="117"/>
      <c r="AC15" s="117"/>
      <c r="AD15" s="117"/>
      <c r="AE15" s="117"/>
      <c r="AF15" s="117"/>
      <c r="AG15" s="117"/>
      <c r="AH15" s="117"/>
      <c r="AI15" s="117"/>
      <c r="AJ15" s="118">
        <f t="shared" si="0"/>
        <v>12</v>
      </c>
      <c r="AK15" s="119">
        <f t="shared" si="1"/>
        <v>1</v>
      </c>
      <c r="AL15" s="129">
        <f t="shared" si="2"/>
        <v>30138.249515086281</v>
      </c>
      <c r="AM15" s="128">
        <f t="shared" si="3"/>
        <v>361658.99418103538</v>
      </c>
      <c r="AN15" s="50"/>
      <c r="AO15" s="51" t="str">
        <f t="shared" ref="AO15:AO25" ca="1" si="4">IF($AM15&gt;0,IF(AND($G15&lt;&gt;"",$F15&lt;&gt;"",$A15&lt;&gt;"",$B15&lt;&gt;"",$C15&lt;&gt;""),"","Check"),"")</f>
        <v/>
      </c>
      <c r="AP15" s="21"/>
      <c r="AQ15" s="52"/>
    </row>
    <row r="16" spans="1:44" hidden="1" x14ac:dyDescent="0.25">
      <c r="A16" s="53" t="str" cm="1">
        <f t="array" aca="1" ref="A16" ca="1">IFERROR(IF(AM16&gt;0,IF(_xlfn.XLOOKUP(F16,INDIRECT(B16),INDIRECT(B16),"NO")="NO","",_xlfn.XLOOKUP($C16,LUT!$B$3:$B$200,LUT!$D$3:$D$200,"")&amp;""),""),"")</f>
        <v>ATG</v>
      </c>
      <c r="B16" s="54" t="s">
        <v>60</v>
      </c>
      <c r="C16" s="56" t="s">
        <v>126</v>
      </c>
      <c r="D16" s="88" t="s">
        <v>138</v>
      </c>
      <c r="E16" s="88" t="s">
        <v>63</v>
      </c>
      <c r="F16" s="55" t="s">
        <v>128</v>
      </c>
      <c r="G16" s="101" t="s">
        <v>65</v>
      </c>
      <c r="H16" s="117"/>
      <c r="I16" s="117"/>
      <c r="J16" s="117"/>
      <c r="K16" s="117">
        <v>1</v>
      </c>
      <c r="L16" s="117">
        <v>2</v>
      </c>
      <c r="M16" s="117">
        <v>3</v>
      </c>
      <c r="N16" s="117">
        <v>3</v>
      </c>
      <c r="O16" s="117">
        <v>3</v>
      </c>
      <c r="P16" s="117">
        <v>3</v>
      </c>
      <c r="Q16" s="117">
        <v>5</v>
      </c>
      <c r="R16" s="117">
        <v>5</v>
      </c>
      <c r="S16" s="117">
        <v>5</v>
      </c>
      <c r="T16" s="117">
        <v>5</v>
      </c>
      <c r="U16" s="117">
        <v>3</v>
      </c>
      <c r="V16" s="117">
        <v>3</v>
      </c>
      <c r="W16" s="117">
        <v>3</v>
      </c>
      <c r="X16" s="117"/>
      <c r="Y16" s="117"/>
      <c r="Z16" s="117"/>
      <c r="AA16" s="117"/>
      <c r="AB16" s="117"/>
      <c r="AC16" s="117"/>
      <c r="AD16" s="117"/>
      <c r="AE16" s="117"/>
      <c r="AF16" s="117"/>
      <c r="AG16" s="117"/>
      <c r="AH16" s="117"/>
      <c r="AI16" s="117"/>
      <c r="AJ16" s="118">
        <f t="shared" si="0"/>
        <v>44</v>
      </c>
      <c r="AK16" s="119">
        <f t="shared" si="1"/>
        <v>5</v>
      </c>
      <c r="AL16" s="129">
        <f t="shared" si="2"/>
        <v>30138.249515086281</v>
      </c>
      <c r="AM16" s="128">
        <f t="shared" si="3"/>
        <v>1326082.9786637963</v>
      </c>
      <c r="AN16" s="50"/>
      <c r="AO16" s="51" t="str">
        <f t="shared" ca="1" si="4"/>
        <v/>
      </c>
      <c r="AP16" s="21"/>
      <c r="AQ16" s="52"/>
    </row>
    <row r="17" spans="1:43" x14ac:dyDescent="0.25">
      <c r="A17" s="53" t="str" cm="1">
        <f t="array" aca="1" ref="A17" ca="1">IFERROR(IF(AM17&gt;0,IF(_xlfn.XLOOKUP(F17,INDIRECT(B17),INDIRECT(B17),"NO")="NO","",_xlfn.XLOOKUP($C17,LUT!$B$3:$B$200,LUT!$D$3:$D$200,"")&amp;""),""),"")</f>
        <v>PlatLinux</v>
      </c>
      <c r="B17" s="54" t="s">
        <v>60</v>
      </c>
      <c r="C17" s="56" t="s">
        <v>139</v>
      </c>
      <c r="D17" s="181" t="s">
        <v>342</v>
      </c>
      <c r="E17" s="88" t="s">
        <v>63</v>
      </c>
      <c r="F17" s="55" t="s">
        <v>141</v>
      </c>
      <c r="G17" s="101" t="s">
        <v>65</v>
      </c>
      <c r="H17" s="117"/>
      <c r="I17" s="117"/>
      <c r="J17" s="117"/>
      <c r="K17" s="117">
        <v>1</v>
      </c>
      <c r="L17" s="117">
        <v>2</v>
      </c>
      <c r="M17" s="117">
        <v>2</v>
      </c>
      <c r="N17" s="117">
        <v>2</v>
      </c>
      <c r="O17" s="117">
        <v>2</v>
      </c>
      <c r="P17" s="117">
        <v>2</v>
      </c>
      <c r="Q17" s="117">
        <v>2</v>
      </c>
      <c r="R17" s="117">
        <v>2</v>
      </c>
      <c r="S17" s="117">
        <v>2</v>
      </c>
      <c r="T17" s="117">
        <v>2</v>
      </c>
      <c r="U17" s="117">
        <v>2</v>
      </c>
      <c r="V17" s="117">
        <v>2</v>
      </c>
      <c r="W17" s="117">
        <v>2</v>
      </c>
      <c r="X17" s="117">
        <v>1</v>
      </c>
      <c r="Y17" s="117"/>
      <c r="Z17" s="117"/>
      <c r="AA17" s="117"/>
      <c r="AB17" s="117"/>
      <c r="AC17" s="117"/>
      <c r="AD17" s="117"/>
      <c r="AE17" s="117"/>
      <c r="AF17" s="117"/>
      <c r="AG17" s="117"/>
      <c r="AH17" s="117"/>
      <c r="AI17" s="117"/>
      <c r="AJ17" s="118">
        <f t="shared" si="0"/>
        <v>26</v>
      </c>
      <c r="AK17" s="119">
        <f t="shared" si="1"/>
        <v>2</v>
      </c>
      <c r="AL17" s="129">
        <f t="shared" si="2"/>
        <v>30138.249515086281</v>
      </c>
      <c r="AM17" s="128">
        <f t="shared" si="3"/>
        <v>783594.48739224335</v>
      </c>
      <c r="AN17" s="50"/>
      <c r="AO17" s="51" t="str">
        <f t="shared" ca="1" si="4"/>
        <v/>
      </c>
      <c r="AP17" s="21"/>
      <c r="AQ17" s="52"/>
    </row>
    <row r="18" spans="1:43" x14ac:dyDescent="0.25">
      <c r="A18" s="53" t="str" cm="1">
        <f t="array" aca="1" ref="A18" ca="1">IFERROR(IF(AM18&gt;0,IF(_xlfn.XLOOKUP(F18,INDIRECT(B18),INDIRECT(B18),"NO")="NO","",_xlfn.XLOOKUP($C18,LUT!$B$3:$B$200,LUT!$D$3:$D$200,"")&amp;""),""),"")</f>
        <v>PlatLinux</v>
      </c>
      <c r="B18" s="54" t="s">
        <v>60</v>
      </c>
      <c r="C18" s="56" t="s">
        <v>139</v>
      </c>
      <c r="D18" s="88" t="s">
        <v>343</v>
      </c>
      <c r="E18" s="88" t="s">
        <v>81</v>
      </c>
      <c r="F18" s="55" t="s">
        <v>142</v>
      </c>
      <c r="G18" s="101" t="s">
        <v>65</v>
      </c>
      <c r="H18" s="117"/>
      <c r="I18" s="117"/>
      <c r="J18" s="117">
        <v>0.5</v>
      </c>
      <c r="K18" s="117">
        <v>0.5</v>
      </c>
      <c r="L18" s="117">
        <v>0.5</v>
      </c>
      <c r="M18" s="117">
        <v>0.5</v>
      </c>
      <c r="N18" s="117">
        <v>0.5</v>
      </c>
      <c r="O18" s="117">
        <v>0.5</v>
      </c>
      <c r="P18" s="117">
        <v>0.5</v>
      </c>
      <c r="Q18" s="117">
        <v>9</v>
      </c>
      <c r="R18" s="117">
        <v>10</v>
      </c>
      <c r="S18" s="117">
        <v>13</v>
      </c>
      <c r="T18" s="117">
        <v>13</v>
      </c>
      <c r="U18" s="117">
        <v>13</v>
      </c>
      <c r="V18" s="117">
        <v>11</v>
      </c>
      <c r="W18" s="117">
        <v>9</v>
      </c>
      <c r="X18" s="117">
        <v>6</v>
      </c>
      <c r="Y18" s="117"/>
      <c r="Z18" s="117"/>
      <c r="AA18" s="117"/>
      <c r="AB18" s="117"/>
      <c r="AC18" s="117"/>
      <c r="AD18" s="117"/>
      <c r="AE18" s="117"/>
      <c r="AF18" s="117"/>
      <c r="AG18" s="117"/>
      <c r="AH18" s="117"/>
      <c r="AI18" s="117"/>
      <c r="AJ18" s="118">
        <f t="shared" si="0"/>
        <v>87.5</v>
      </c>
      <c r="AK18" s="119">
        <f t="shared" si="1"/>
        <v>13</v>
      </c>
      <c r="AL18" s="129">
        <f t="shared" si="2"/>
        <v>27275.208822115485</v>
      </c>
      <c r="AM18" s="128">
        <f t="shared" si="3"/>
        <v>2386580.7719351049</v>
      </c>
      <c r="AN18" s="50"/>
      <c r="AO18" s="51" t="str">
        <f t="shared" ca="1" si="4"/>
        <v/>
      </c>
      <c r="AP18" s="21"/>
      <c r="AQ18" s="52"/>
    </row>
    <row r="19" spans="1:43" x14ac:dyDescent="0.25">
      <c r="A19" s="53" t="str" cm="1">
        <f t="array" aca="1" ref="A19" ca="1">IFERROR(IF(AM19&gt;0,IF(_xlfn.XLOOKUP(F19,INDIRECT(B19),INDIRECT(B19),"NO")="NO","",_xlfn.XLOOKUP($C19,LUT!$B$3:$B$200,LUT!$D$3:$D$200,"")&amp;""),""),"")</f>
        <v>PlatLinux</v>
      </c>
      <c r="B19" s="54" t="s">
        <v>60</v>
      </c>
      <c r="C19" s="56" t="s">
        <v>139</v>
      </c>
      <c r="D19" s="88" t="s">
        <v>334</v>
      </c>
      <c r="E19" s="88" t="s">
        <v>81</v>
      </c>
      <c r="F19" s="55" t="s">
        <v>142</v>
      </c>
      <c r="G19" s="101" t="s">
        <v>65</v>
      </c>
      <c r="H19" s="117"/>
      <c r="I19" s="117"/>
      <c r="J19" s="117"/>
      <c r="K19" s="117"/>
      <c r="L19" s="117"/>
      <c r="M19" s="117"/>
      <c r="N19" s="117"/>
      <c r="O19" s="117"/>
      <c r="P19" s="117"/>
      <c r="Q19" s="117">
        <v>1</v>
      </c>
      <c r="R19" s="117">
        <v>1</v>
      </c>
      <c r="S19" s="117">
        <v>2</v>
      </c>
      <c r="T19" s="117">
        <v>2</v>
      </c>
      <c r="U19" s="117">
        <v>2</v>
      </c>
      <c r="V19" s="117">
        <v>2</v>
      </c>
      <c r="W19" s="117">
        <v>1</v>
      </c>
      <c r="X19" s="117">
        <v>1</v>
      </c>
      <c r="Y19" s="117"/>
      <c r="Z19" s="117"/>
      <c r="AA19" s="117"/>
      <c r="AB19" s="117"/>
      <c r="AC19" s="117"/>
      <c r="AD19" s="117"/>
      <c r="AE19" s="117"/>
      <c r="AF19" s="117"/>
      <c r="AG19" s="117"/>
      <c r="AH19" s="117"/>
      <c r="AI19" s="117"/>
      <c r="AJ19" s="118">
        <f t="shared" ref="AJ19" si="5">SUM(H19:AI19)</f>
        <v>12</v>
      </c>
      <c r="AK19" s="119">
        <f t="shared" ref="AK19" si="6">MAX(H19:AI19)</f>
        <v>2</v>
      </c>
      <c r="AL19" s="129">
        <f t="shared" ref="AL19" si="7">_xlfn.XLOOKUP(E19,Location,labour,0)</f>
        <v>27275.208822115485</v>
      </c>
      <c r="AM19" s="128">
        <f t="shared" ref="AM19" si="8">AL19*AJ19</f>
        <v>327302.50586538581</v>
      </c>
      <c r="AN19" s="50"/>
      <c r="AO19" s="51"/>
      <c r="AP19" s="21"/>
      <c r="AQ19" s="52"/>
    </row>
    <row r="20" spans="1:43" x14ac:dyDescent="0.25">
      <c r="A20" s="53" t="str" cm="1">
        <f t="array" aca="1" ref="A20" ca="1">IFERROR(IF(AM20&gt;0,IF(_xlfn.XLOOKUP(F20,INDIRECT(B20),INDIRECT(B20),"NO")="NO","",_xlfn.XLOOKUP($C20,LUT!$B$3:$B$200,LUT!$D$3:$D$200,"")&amp;""),""),"")</f>
        <v>PlatLinux</v>
      </c>
      <c r="B20" s="54" t="s">
        <v>60</v>
      </c>
      <c r="C20" s="56" t="s">
        <v>139</v>
      </c>
      <c r="D20" s="88" t="s">
        <v>335</v>
      </c>
      <c r="E20" s="88" t="s">
        <v>81</v>
      </c>
      <c r="F20" s="55" t="s">
        <v>142</v>
      </c>
      <c r="G20" s="101" t="s">
        <v>65</v>
      </c>
      <c r="H20" s="117"/>
      <c r="I20" s="117"/>
      <c r="J20" s="117"/>
      <c r="K20" s="117"/>
      <c r="L20" s="117"/>
      <c r="M20" s="117"/>
      <c r="N20" s="117"/>
      <c r="O20" s="117"/>
      <c r="P20" s="117"/>
      <c r="Q20" s="117">
        <v>0.5</v>
      </c>
      <c r="R20" s="117">
        <v>1</v>
      </c>
      <c r="S20" s="117">
        <v>1</v>
      </c>
      <c r="T20" s="117">
        <v>1</v>
      </c>
      <c r="U20" s="117">
        <v>1</v>
      </c>
      <c r="V20" s="117">
        <v>1</v>
      </c>
      <c r="W20" s="117">
        <v>1</v>
      </c>
      <c r="X20" s="117">
        <v>0.5</v>
      </c>
      <c r="Y20" s="117"/>
      <c r="Z20" s="117"/>
      <c r="AA20" s="117"/>
      <c r="AB20" s="117"/>
      <c r="AC20" s="117"/>
      <c r="AD20" s="117"/>
      <c r="AE20" s="117"/>
      <c r="AF20" s="117"/>
      <c r="AG20" s="117"/>
      <c r="AH20" s="117"/>
      <c r="AI20" s="117"/>
      <c r="AJ20" s="118">
        <f t="shared" ref="AJ20" si="9">SUM(H20:AI20)</f>
        <v>7</v>
      </c>
      <c r="AK20" s="119">
        <f t="shared" ref="AK20" si="10">MAX(H20:AI20)</f>
        <v>1</v>
      </c>
      <c r="AL20" s="129">
        <f t="shared" ref="AL20" si="11">_xlfn.XLOOKUP(E20,Location,labour,0)</f>
        <v>27275.208822115485</v>
      </c>
      <c r="AM20" s="128">
        <f t="shared" ref="AM20" si="12">AL20*AJ20</f>
        <v>190926.46175480838</v>
      </c>
      <c r="AN20" s="50"/>
      <c r="AO20" s="51"/>
      <c r="AP20" s="21"/>
      <c r="AQ20" s="52"/>
    </row>
    <row r="21" spans="1:43" x14ac:dyDescent="0.25">
      <c r="A21" s="53" t="str" cm="1">
        <f t="array" aca="1" ref="A21" ca="1">IFERROR(IF(AM21&gt;0,IF(_xlfn.XLOOKUP(F21,INDIRECT(B21),INDIRECT(B21),"NO")="NO","",_xlfn.XLOOKUP($C21,LUT!$B$3:$B$200,LUT!$D$3:$D$200,"")&amp;""),""),"")</f>
        <v>PlatLinux</v>
      </c>
      <c r="B21" s="54" t="s">
        <v>60</v>
      </c>
      <c r="C21" s="56" t="s">
        <v>139</v>
      </c>
      <c r="D21" s="88" t="s">
        <v>336</v>
      </c>
      <c r="E21" s="88" t="s">
        <v>81</v>
      </c>
      <c r="F21" s="55" t="s">
        <v>142</v>
      </c>
      <c r="G21" s="101" t="s">
        <v>65</v>
      </c>
      <c r="H21" s="117"/>
      <c r="I21" s="117"/>
      <c r="J21" s="117"/>
      <c r="K21" s="117"/>
      <c r="L21" s="117"/>
      <c r="M21" s="117"/>
      <c r="N21" s="117"/>
      <c r="O21" s="117"/>
      <c r="P21" s="117"/>
      <c r="Q21" s="117">
        <v>1</v>
      </c>
      <c r="R21" s="117">
        <v>1</v>
      </c>
      <c r="S21" s="117">
        <v>2</v>
      </c>
      <c r="T21" s="117">
        <v>2</v>
      </c>
      <c r="U21" s="117">
        <v>2</v>
      </c>
      <c r="V21" s="117">
        <v>2</v>
      </c>
      <c r="W21" s="117">
        <v>1</v>
      </c>
      <c r="X21" s="117">
        <v>1</v>
      </c>
      <c r="Y21" s="117"/>
      <c r="Z21" s="117"/>
      <c r="AA21" s="117"/>
      <c r="AB21" s="117"/>
      <c r="AC21" s="117"/>
      <c r="AD21" s="117"/>
      <c r="AE21" s="117"/>
      <c r="AF21" s="117"/>
      <c r="AG21" s="117"/>
      <c r="AH21" s="117"/>
      <c r="AI21" s="117"/>
      <c r="AJ21" s="118">
        <f t="shared" ref="AJ21" si="13">SUM(H21:AI21)</f>
        <v>12</v>
      </c>
      <c r="AK21" s="119">
        <f t="shared" ref="AK21" si="14">MAX(H21:AI21)</f>
        <v>2</v>
      </c>
      <c r="AL21" s="129">
        <f t="shared" ref="AL21" si="15">_xlfn.XLOOKUP(E21,Location,labour,0)</f>
        <v>27275.208822115485</v>
      </c>
      <c r="AM21" s="128">
        <f t="shared" ref="AM21" si="16">AL21*AJ21</f>
        <v>327302.50586538581</v>
      </c>
      <c r="AN21" s="50"/>
      <c r="AO21" s="51"/>
      <c r="AP21" s="21"/>
      <c r="AQ21" s="52"/>
    </row>
    <row r="22" spans="1:43" x14ac:dyDescent="0.25">
      <c r="A22" s="53" t="str" cm="1">
        <f t="array" aca="1" ref="A22" ca="1">IFERROR(IF(AM22&gt;0,IF(_xlfn.XLOOKUP(F22,INDIRECT(B22),INDIRECT(B22),"NO")="NO","",_xlfn.XLOOKUP($C22,LUT!$B$3:$B$200,LUT!$D$3:$D$200,"")&amp;""),""),"")</f>
        <v>PlatLinux</v>
      </c>
      <c r="B22" s="54" t="s">
        <v>60</v>
      </c>
      <c r="C22" s="56" t="s">
        <v>139</v>
      </c>
      <c r="D22" s="88" t="s">
        <v>337</v>
      </c>
      <c r="E22" s="88" t="s">
        <v>81</v>
      </c>
      <c r="F22" s="55" t="s">
        <v>142</v>
      </c>
      <c r="G22" s="101" t="s">
        <v>65</v>
      </c>
      <c r="H22" s="117"/>
      <c r="I22" s="117"/>
      <c r="J22" s="117"/>
      <c r="K22" s="117"/>
      <c r="L22" s="117"/>
      <c r="M22" s="117"/>
      <c r="N22" s="117"/>
      <c r="O22" s="117"/>
      <c r="P22" s="117"/>
      <c r="Q22" s="117">
        <v>0.5</v>
      </c>
      <c r="R22" s="117">
        <v>1</v>
      </c>
      <c r="S22" s="117">
        <v>1</v>
      </c>
      <c r="T22" s="117">
        <v>1</v>
      </c>
      <c r="U22" s="117">
        <v>1</v>
      </c>
      <c r="V22" s="117">
        <v>1</v>
      </c>
      <c r="W22" s="117">
        <v>1</v>
      </c>
      <c r="X22" s="117">
        <v>0.5</v>
      </c>
      <c r="Y22" s="117"/>
      <c r="Z22" s="117"/>
      <c r="AA22" s="117"/>
      <c r="AB22" s="117"/>
      <c r="AC22" s="117"/>
      <c r="AD22" s="117"/>
      <c r="AE22" s="117"/>
      <c r="AF22" s="117"/>
      <c r="AG22" s="117"/>
      <c r="AH22" s="117"/>
      <c r="AI22" s="117"/>
      <c r="AJ22" s="118">
        <f t="shared" ref="AJ22" si="17">SUM(H22:AI22)</f>
        <v>7</v>
      </c>
      <c r="AK22" s="119">
        <f t="shared" ref="AK22" si="18">MAX(H22:AI22)</f>
        <v>1</v>
      </c>
      <c r="AL22" s="129">
        <f t="shared" ref="AL22" si="19">_xlfn.XLOOKUP(E22,Location,labour,0)</f>
        <v>27275.208822115485</v>
      </c>
      <c r="AM22" s="128">
        <f t="shared" ref="AM22" si="20">AL22*AJ22</f>
        <v>190926.46175480838</v>
      </c>
      <c r="AN22" s="50"/>
      <c r="AO22" s="51"/>
      <c r="AP22" s="21"/>
      <c r="AQ22" s="52"/>
    </row>
    <row r="23" spans="1:43" x14ac:dyDescent="0.25">
      <c r="A23" s="53" t="str" cm="1">
        <f t="array" aca="1" ref="A23" ca="1">IFERROR(IF(AM23&gt;0,IF(_xlfn.XLOOKUP(F23,INDIRECT(B23),INDIRECT(B23),"NO")="NO","",_xlfn.XLOOKUP($C23,LUT!$B$3:$B$200,LUT!$D$3:$D$200,"")&amp;""),""),"")</f>
        <v>PlatLinux</v>
      </c>
      <c r="B23" s="54" t="s">
        <v>60</v>
      </c>
      <c r="C23" s="56" t="s">
        <v>139</v>
      </c>
      <c r="D23" s="88" t="s">
        <v>338</v>
      </c>
      <c r="E23" s="88" t="s">
        <v>81</v>
      </c>
      <c r="F23" s="55" t="s">
        <v>142</v>
      </c>
      <c r="G23" s="101" t="s">
        <v>65</v>
      </c>
      <c r="H23" s="117"/>
      <c r="I23" s="117"/>
      <c r="J23" s="117"/>
      <c r="K23" s="117"/>
      <c r="L23" s="117"/>
      <c r="M23" s="117"/>
      <c r="N23" s="117"/>
      <c r="O23" s="117"/>
      <c r="P23" s="117"/>
      <c r="Q23" s="117">
        <v>1</v>
      </c>
      <c r="R23" s="117">
        <v>1</v>
      </c>
      <c r="S23" s="117">
        <v>2</v>
      </c>
      <c r="T23" s="117">
        <v>3</v>
      </c>
      <c r="U23" s="117">
        <v>3</v>
      </c>
      <c r="V23" s="117">
        <v>3</v>
      </c>
      <c r="W23" s="117">
        <v>3</v>
      </c>
      <c r="X23" s="117">
        <v>3</v>
      </c>
      <c r="Y23" s="117"/>
      <c r="Z23" s="117"/>
      <c r="AA23" s="117"/>
      <c r="AB23" s="117"/>
      <c r="AC23" s="117"/>
      <c r="AD23" s="117"/>
      <c r="AE23" s="117"/>
      <c r="AF23" s="117"/>
      <c r="AG23" s="117"/>
      <c r="AH23" s="117"/>
      <c r="AI23" s="117"/>
      <c r="AJ23" s="118">
        <f t="shared" ref="AJ23" si="21">SUM(H23:AI23)</f>
        <v>19</v>
      </c>
      <c r="AK23" s="119">
        <f t="shared" ref="AK23" si="22">MAX(H23:AI23)</f>
        <v>3</v>
      </c>
      <c r="AL23" s="129">
        <f t="shared" ref="AL23" si="23">_xlfn.XLOOKUP(E23,Location,labour,0)</f>
        <v>27275.208822115485</v>
      </c>
      <c r="AM23" s="128">
        <f t="shared" ref="AM23" si="24">AL23*AJ23</f>
        <v>518228.96762019419</v>
      </c>
      <c r="AN23" s="50"/>
      <c r="AO23" s="51"/>
      <c r="AP23" s="21"/>
      <c r="AQ23" s="52"/>
    </row>
    <row r="24" spans="1:43" hidden="1" x14ac:dyDescent="0.25">
      <c r="A24" s="53" t="s">
        <v>248</v>
      </c>
      <c r="B24" s="54" t="s">
        <v>98</v>
      </c>
      <c r="C24" s="56" t="s">
        <v>11</v>
      </c>
      <c r="D24" s="196" t="s">
        <v>99</v>
      </c>
      <c r="E24" s="88" t="s">
        <v>63</v>
      </c>
      <c r="F24" s="55" t="s">
        <v>100</v>
      </c>
      <c r="G24" s="101" t="s">
        <v>65</v>
      </c>
      <c r="H24" s="117"/>
      <c r="I24" s="117"/>
      <c r="J24" s="117"/>
      <c r="K24" s="117"/>
      <c r="L24" s="117"/>
      <c r="M24" s="117"/>
      <c r="N24" s="117"/>
      <c r="O24" s="117"/>
      <c r="P24" s="117">
        <v>2</v>
      </c>
      <c r="Q24" s="117">
        <v>2</v>
      </c>
      <c r="R24" s="117">
        <v>2</v>
      </c>
      <c r="S24" s="117">
        <v>3</v>
      </c>
      <c r="T24" s="117">
        <v>2</v>
      </c>
      <c r="U24" s="117">
        <v>2</v>
      </c>
      <c r="V24" s="117">
        <v>2</v>
      </c>
      <c r="W24" s="117">
        <v>2</v>
      </c>
      <c r="X24" s="117"/>
      <c r="Y24" s="117"/>
      <c r="Z24" s="117"/>
      <c r="AA24" s="117"/>
      <c r="AB24" s="117"/>
      <c r="AC24" s="117"/>
      <c r="AD24" s="117"/>
      <c r="AE24" s="117"/>
      <c r="AF24" s="117"/>
      <c r="AG24" s="117"/>
      <c r="AH24" s="117"/>
      <c r="AI24" s="117"/>
      <c r="AJ24" s="118">
        <f t="shared" si="0"/>
        <v>17</v>
      </c>
      <c r="AK24" s="119">
        <f t="shared" si="1"/>
        <v>3</v>
      </c>
      <c r="AL24" s="129">
        <f t="shared" si="2"/>
        <v>30138.249515086281</v>
      </c>
      <c r="AM24" s="128">
        <f t="shared" si="3"/>
        <v>512350.2417564668</v>
      </c>
      <c r="AN24" s="50"/>
      <c r="AO24" s="51" t="str">
        <f t="shared" si="4"/>
        <v/>
      </c>
      <c r="AP24" s="21"/>
      <c r="AQ24" s="52"/>
    </row>
    <row r="25" spans="1:43" hidden="1" x14ac:dyDescent="0.25">
      <c r="A25" s="53" t="str" cm="1">
        <f t="array" aca="1" ref="A25" ca="1">IFERROR(IF(AM25&gt;0,IF(_xlfn.XLOOKUP(F25,INDIRECT(B25),INDIRECT(B25),"NO")="NO","",_xlfn.XLOOKUP($C25,LUT!$B$3:$B$200,LUT!$D$3:$D$200,"")&amp;""),""),"")</f>
        <v/>
      </c>
      <c r="B25" s="54"/>
      <c r="C25" s="56"/>
      <c r="D25" s="182"/>
      <c r="E25" s="88"/>
      <c r="F25" s="55"/>
      <c r="G25" s="101"/>
      <c r="H25" s="117"/>
      <c r="I25" s="117"/>
      <c r="J25" s="117"/>
      <c r="K25" s="117"/>
      <c r="L25" s="117"/>
      <c r="M25" s="117"/>
      <c r="N25" s="117"/>
      <c r="O25" s="117"/>
      <c r="P25" s="117"/>
      <c r="Q25" s="117"/>
      <c r="R25" s="117"/>
      <c r="S25" s="117"/>
      <c r="T25" s="117"/>
      <c r="U25" s="117"/>
      <c r="V25" s="117"/>
      <c r="W25" s="117"/>
      <c r="X25" s="117"/>
      <c r="Y25" s="117"/>
      <c r="Z25" s="117"/>
      <c r="AA25" s="117"/>
      <c r="AB25" s="117"/>
      <c r="AC25" s="117"/>
      <c r="AD25" s="117">
        <v>0</v>
      </c>
      <c r="AE25" s="117">
        <v>0</v>
      </c>
      <c r="AF25" s="117"/>
      <c r="AG25" s="117"/>
      <c r="AH25" s="117"/>
      <c r="AI25" s="117"/>
      <c r="AJ25" s="118">
        <f t="shared" si="0"/>
        <v>0</v>
      </c>
      <c r="AK25" s="119">
        <f t="shared" si="1"/>
        <v>0</v>
      </c>
      <c r="AL25" s="129">
        <f t="shared" si="2"/>
        <v>0</v>
      </c>
      <c r="AM25" s="128">
        <f t="shared" si="3"/>
        <v>0</v>
      </c>
      <c r="AN25" s="50"/>
      <c r="AO25" s="51" t="str">
        <f t="shared" si="4"/>
        <v/>
      </c>
      <c r="AP25" s="21"/>
      <c r="AQ25" s="52"/>
    </row>
    <row r="26" spans="1:43" hidden="1" x14ac:dyDescent="0.25">
      <c r="A26" s="53" t="str" cm="1">
        <f t="array" aca="1" ref="A26" ca="1">IFERROR(IF(AM26&gt;0,IF(_xlfn.XLOOKUP(F26,INDIRECT(B26),INDIRECT(B26),"NO")="NO","",_xlfn.XLOOKUP($C26,LUT!$B$3:$B$200,LUT!$D$3:$D$200,"")&amp;""),""),"")</f>
        <v/>
      </c>
      <c r="B26" s="54"/>
      <c r="C26" s="56"/>
      <c r="D26" s="182"/>
      <c r="E26" s="88"/>
      <c r="F26" s="55"/>
      <c r="G26" s="101"/>
      <c r="H26" s="117"/>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7"/>
      <c r="AJ26" s="118">
        <f t="shared" si="0"/>
        <v>0</v>
      </c>
      <c r="AK26" s="119">
        <f t="shared" si="1"/>
        <v>0</v>
      </c>
      <c r="AL26" s="129">
        <f t="shared" si="2"/>
        <v>0</v>
      </c>
      <c r="AM26" s="128">
        <f t="shared" si="3"/>
        <v>0</v>
      </c>
      <c r="AN26" s="50"/>
      <c r="AO26" s="51"/>
      <c r="AP26" s="21"/>
      <c r="AQ26" s="52"/>
    </row>
    <row r="27" spans="1:43" hidden="1" x14ac:dyDescent="0.25">
      <c r="A27" s="53" t="str" cm="1">
        <f t="array" aca="1" ref="A27" ca="1">IFERROR(IF(AM27&gt;0,IF(_xlfn.XLOOKUP(F27,INDIRECT(B27),INDIRECT(B27),"NO")="NO","",_xlfn.XLOOKUP($C27,LUT!$B$3:$B$200,LUT!$D$3:$D$200,"")&amp;""),""),"")</f>
        <v/>
      </c>
      <c r="B27" s="54"/>
      <c r="C27" s="56"/>
      <c r="D27" s="182"/>
      <c r="E27" s="88"/>
      <c r="F27" s="55"/>
      <c r="G27" s="101"/>
      <c r="H27" s="117"/>
      <c r="I27" s="117"/>
      <c r="J27" s="117"/>
      <c r="K27" s="117"/>
      <c r="L27" s="117"/>
      <c r="M27" s="117"/>
      <c r="N27" s="117"/>
      <c r="O27" s="117"/>
      <c r="P27" s="117"/>
      <c r="Q27" s="117"/>
      <c r="R27" s="117"/>
      <c r="S27" s="117"/>
      <c r="T27" s="117"/>
      <c r="U27" s="117"/>
      <c r="V27" s="117"/>
      <c r="W27" s="117"/>
      <c r="X27" s="117"/>
      <c r="Y27" s="117"/>
      <c r="Z27" s="117"/>
      <c r="AA27" s="117"/>
      <c r="AB27" s="117"/>
      <c r="AC27" s="117"/>
      <c r="AD27" s="117"/>
      <c r="AE27" s="117"/>
      <c r="AF27" s="117"/>
      <c r="AG27" s="117"/>
      <c r="AH27" s="117"/>
      <c r="AI27" s="117"/>
      <c r="AJ27" s="118">
        <f t="shared" si="0"/>
        <v>0</v>
      </c>
      <c r="AK27" s="119">
        <f t="shared" si="1"/>
        <v>0</v>
      </c>
      <c r="AL27" s="129">
        <f t="shared" si="2"/>
        <v>0</v>
      </c>
      <c r="AM27" s="128">
        <f t="shared" si="3"/>
        <v>0</v>
      </c>
      <c r="AN27" s="50"/>
      <c r="AO27" s="51"/>
      <c r="AP27" s="21"/>
      <c r="AQ27" s="52"/>
    </row>
    <row r="28" spans="1:43" hidden="1" x14ac:dyDescent="0.25">
      <c r="A28" s="53" t="str" cm="1">
        <f t="array" aca="1" ref="A28" ca="1">IFERROR(IF(AM28&gt;0,IF(_xlfn.XLOOKUP(F28,INDIRECT(B28),INDIRECT(B28),"NO")="NO","",_xlfn.XLOOKUP($C28,LUT!$B$3:$B$200,LUT!$D$3:$D$200,"")&amp;""),""),"")</f>
        <v/>
      </c>
      <c r="B28" s="54"/>
      <c r="C28" s="56"/>
      <c r="D28" s="182"/>
      <c r="E28" s="88"/>
      <c r="F28" s="55"/>
      <c r="G28" s="101"/>
      <c r="H28" s="117"/>
      <c r="I28" s="117"/>
      <c r="J28" s="117"/>
      <c r="K28" s="117"/>
      <c r="L28" s="117"/>
      <c r="M28" s="117"/>
      <c r="N28" s="117"/>
      <c r="O28" s="117"/>
      <c r="P28" s="117"/>
      <c r="Q28" s="117"/>
      <c r="R28" s="117"/>
      <c r="S28" s="117"/>
      <c r="T28" s="117"/>
      <c r="U28" s="117"/>
      <c r="V28" s="117"/>
      <c r="W28" s="117"/>
      <c r="X28" s="117"/>
      <c r="Y28" s="117"/>
      <c r="Z28" s="117"/>
      <c r="AA28" s="117"/>
      <c r="AB28" s="117"/>
      <c r="AC28" s="117"/>
      <c r="AD28" s="117"/>
      <c r="AE28" s="117"/>
      <c r="AF28" s="117"/>
      <c r="AG28" s="117"/>
      <c r="AH28" s="117"/>
      <c r="AI28" s="117"/>
      <c r="AJ28" s="118">
        <f t="shared" si="0"/>
        <v>0</v>
      </c>
      <c r="AK28" s="119">
        <f t="shared" si="1"/>
        <v>0</v>
      </c>
      <c r="AL28" s="129">
        <f t="shared" si="2"/>
        <v>0</v>
      </c>
      <c r="AM28" s="128">
        <f t="shared" si="3"/>
        <v>0</v>
      </c>
      <c r="AN28" s="50"/>
      <c r="AO28" s="51"/>
      <c r="AP28" s="21"/>
      <c r="AQ28" s="52"/>
    </row>
    <row r="29" spans="1:43" hidden="1" x14ac:dyDescent="0.25">
      <c r="A29" s="53" t="str" cm="1">
        <f t="array" aca="1" ref="A29" ca="1">IFERROR(IF(AM29&gt;0,IF(_xlfn.XLOOKUP(F29,INDIRECT(B29),INDIRECT(B29),"NO")="NO","",_xlfn.XLOOKUP($C29,LUT!$B$3:$B$200,LUT!$D$3:$D$200,"")&amp;""),""),"")</f>
        <v/>
      </c>
      <c r="B29" s="54"/>
      <c r="C29" s="56"/>
      <c r="D29" s="182"/>
      <c r="E29" s="88"/>
      <c r="F29" s="55"/>
      <c r="G29" s="101"/>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c r="AI29" s="117"/>
      <c r="AJ29" s="118">
        <f t="shared" si="0"/>
        <v>0</v>
      </c>
      <c r="AK29" s="119">
        <f t="shared" si="1"/>
        <v>0</v>
      </c>
      <c r="AL29" s="129">
        <f t="shared" si="2"/>
        <v>0</v>
      </c>
      <c r="AM29" s="128">
        <f t="shared" si="3"/>
        <v>0</v>
      </c>
      <c r="AN29" s="50"/>
      <c r="AO29" s="51" t="str">
        <f>IF($AM29&gt;0,IF(AND($G29&lt;&gt;"",$F29&lt;&gt;"",$A29&lt;&gt;"",$B29&lt;&gt;"",$C29&lt;&gt;""),"","Check"),"")</f>
        <v/>
      </c>
      <c r="AP29" s="21"/>
      <c r="AQ29" s="52"/>
    </row>
    <row r="30" spans="1:43" hidden="1" x14ac:dyDescent="0.25">
      <c r="A30" s="53" t="str" cm="1">
        <f t="array" aca="1" ref="A30" ca="1">IFERROR(IF(AM30&gt;0,IF(_xlfn.XLOOKUP(F30,INDIRECT(B30),INDIRECT(B30),"NO")="NO","",_xlfn.XLOOKUP($C30,LUT!$B$3:$B$200,LUT!$D$3:$D$200,"")&amp;""),""),"")</f>
        <v/>
      </c>
      <c r="B30" s="54"/>
      <c r="C30" s="56"/>
      <c r="D30" s="88"/>
      <c r="E30" s="88"/>
      <c r="F30" s="55"/>
      <c r="G30" s="101"/>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c r="AI30" s="117"/>
      <c r="AJ30" s="118">
        <f t="shared" si="0"/>
        <v>0</v>
      </c>
      <c r="AK30" s="119">
        <f t="shared" si="1"/>
        <v>0</v>
      </c>
      <c r="AL30" s="129">
        <f t="shared" si="2"/>
        <v>0</v>
      </c>
      <c r="AM30" s="128">
        <f t="shared" si="3"/>
        <v>0</v>
      </c>
      <c r="AN30" s="50"/>
      <c r="AO30" s="51"/>
    </row>
    <row r="31" spans="1:43" hidden="1" x14ac:dyDescent="0.25">
      <c r="A31" s="53" t="str" cm="1">
        <f t="array" aca="1" ref="A31" ca="1">IFERROR(IF(AM31&gt;0,IF(_xlfn.XLOOKUP(F31,INDIRECT(B31),INDIRECT(B31),"NO")="NO","",_xlfn.XLOOKUP($C31,LUT!$B$3:$B$200,LUT!$D$3:$D$200,"")&amp;""),""),"")</f>
        <v/>
      </c>
      <c r="B31" s="54"/>
      <c r="C31" s="56"/>
      <c r="D31" s="88"/>
      <c r="E31" s="88"/>
      <c r="F31" s="55"/>
      <c r="G31" s="101"/>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c r="AI31" s="117"/>
      <c r="AJ31" s="118">
        <f t="shared" si="0"/>
        <v>0</v>
      </c>
      <c r="AK31" s="119">
        <f t="shared" si="1"/>
        <v>0</v>
      </c>
      <c r="AL31" s="129">
        <f t="shared" si="2"/>
        <v>0</v>
      </c>
      <c r="AM31" s="128">
        <f t="shared" si="3"/>
        <v>0</v>
      </c>
      <c r="AN31" s="50"/>
      <c r="AO31" s="51" t="str">
        <f t="shared" ref="AO31:AO57" si="25">IF($AM31&gt;0,IF(AND($G31&lt;&gt;"",$F31&lt;&gt;"",$A31&lt;&gt;"",$B31&lt;&gt;"",$C31&lt;&gt;""),"","Check"),"")</f>
        <v/>
      </c>
      <c r="AP31" s="21"/>
      <c r="AQ31" s="52"/>
    </row>
    <row r="32" spans="1:43" hidden="1" x14ac:dyDescent="0.25">
      <c r="A32" s="53" t="str" cm="1">
        <f t="array" aca="1" ref="A32" ca="1">IFERROR(IF(AM32&gt;0,IF(_xlfn.XLOOKUP(F32,INDIRECT(B32),INDIRECT(B32),"NO")="NO","",_xlfn.XLOOKUP($C32,LUT!$B$3:$B$200,LUT!$D$3:$D$200,"")&amp;""),""),"")</f>
        <v/>
      </c>
      <c r="B32" s="54"/>
      <c r="C32" s="56"/>
      <c r="D32" s="88"/>
      <c r="E32" s="88"/>
      <c r="F32" s="55"/>
      <c r="G32" s="101"/>
      <c r="H32" s="117"/>
      <c r="I32" s="117"/>
      <c r="J32" s="117"/>
      <c r="K32" s="117"/>
      <c r="L32" s="117"/>
      <c r="M32" s="117"/>
      <c r="N32" s="117"/>
      <c r="O32" s="117"/>
      <c r="P32" s="117"/>
      <c r="Q32" s="117"/>
      <c r="R32" s="117"/>
      <c r="S32" s="117"/>
      <c r="T32" s="117"/>
      <c r="U32" s="117"/>
      <c r="V32" s="117"/>
      <c r="W32" s="117"/>
      <c r="X32" s="117"/>
      <c r="Y32" s="117"/>
      <c r="Z32" s="117"/>
      <c r="AA32" s="117"/>
      <c r="AB32" s="117"/>
      <c r="AC32" s="117"/>
      <c r="AD32" s="117"/>
      <c r="AE32" s="117"/>
      <c r="AF32" s="117"/>
      <c r="AG32" s="117"/>
      <c r="AH32" s="117"/>
      <c r="AI32" s="117"/>
      <c r="AJ32" s="118">
        <f t="shared" si="0"/>
        <v>0</v>
      </c>
      <c r="AK32" s="119">
        <f t="shared" si="1"/>
        <v>0</v>
      </c>
      <c r="AL32" s="129">
        <f t="shared" si="2"/>
        <v>0</v>
      </c>
      <c r="AM32" s="128">
        <f t="shared" si="3"/>
        <v>0</v>
      </c>
      <c r="AN32" s="50"/>
      <c r="AO32" s="51" t="str">
        <f t="shared" si="25"/>
        <v/>
      </c>
      <c r="AP32" s="21"/>
      <c r="AQ32" s="52"/>
    </row>
    <row r="33" spans="1:43" hidden="1" x14ac:dyDescent="0.25">
      <c r="A33" s="53" t="str" cm="1">
        <f t="array" aca="1" ref="A33" ca="1">IFERROR(IF(AM33&gt;0,IF(_xlfn.XLOOKUP(F33,INDIRECT(B33),INDIRECT(B33),"NO")="NO","",_xlfn.XLOOKUP($C33,LUT!$B$3:$B$200,LUT!$D$3:$D$200,"")&amp;""),""),"")</f>
        <v/>
      </c>
      <c r="B33" s="54"/>
      <c r="C33" s="56"/>
      <c r="D33" s="88"/>
      <c r="E33" s="88"/>
      <c r="F33" s="55"/>
      <c r="G33" s="101"/>
      <c r="H33" s="117"/>
      <c r="I33" s="117"/>
      <c r="J33" s="117"/>
      <c r="K33" s="117"/>
      <c r="L33" s="117"/>
      <c r="M33" s="117"/>
      <c r="N33" s="117"/>
      <c r="O33" s="117"/>
      <c r="P33" s="117"/>
      <c r="Q33" s="117"/>
      <c r="R33" s="117"/>
      <c r="S33" s="117"/>
      <c r="T33" s="117"/>
      <c r="U33" s="117"/>
      <c r="V33" s="117"/>
      <c r="W33" s="117"/>
      <c r="X33" s="117"/>
      <c r="Y33" s="117"/>
      <c r="Z33" s="117"/>
      <c r="AA33" s="117"/>
      <c r="AB33" s="117"/>
      <c r="AC33" s="117"/>
      <c r="AD33" s="117"/>
      <c r="AE33" s="117"/>
      <c r="AF33" s="117"/>
      <c r="AG33" s="117"/>
      <c r="AH33" s="117"/>
      <c r="AI33" s="117"/>
      <c r="AJ33" s="118">
        <f t="shared" si="0"/>
        <v>0</v>
      </c>
      <c r="AK33" s="119">
        <f t="shared" si="1"/>
        <v>0</v>
      </c>
      <c r="AL33" s="129">
        <f t="shared" si="2"/>
        <v>0</v>
      </c>
      <c r="AM33" s="128">
        <f t="shared" si="3"/>
        <v>0</v>
      </c>
      <c r="AN33" s="50"/>
      <c r="AO33" s="51" t="str">
        <f t="shared" si="25"/>
        <v/>
      </c>
      <c r="AP33" s="21"/>
      <c r="AQ33" s="52"/>
    </row>
    <row r="34" spans="1:43" hidden="1" x14ac:dyDescent="0.25">
      <c r="A34" s="53" t="str" cm="1">
        <f t="array" aca="1" ref="A34" ca="1">IFERROR(IF(AM34&gt;0,IF(_xlfn.XLOOKUP(F34,INDIRECT(B34),INDIRECT(B34),"NO")="NO","",_xlfn.XLOOKUP($C34,LUT!$B$3:$B$200,LUT!$D$3:$D$200,"")&amp;""),""),"")</f>
        <v/>
      </c>
      <c r="B34" s="54"/>
      <c r="C34" s="56"/>
      <c r="D34" s="88"/>
      <c r="E34" s="88"/>
      <c r="F34" s="55"/>
      <c r="G34" s="101"/>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c r="AF34" s="117"/>
      <c r="AG34" s="117"/>
      <c r="AH34" s="117"/>
      <c r="AI34" s="117"/>
      <c r="AJ34" s="118">
        <f t="shared" si="0"/>
        <v>0</v>
      </c>
      <c r="AK34" s="119">
        <f t="shared" si="1"/>
        <v>0</v>
      </c>
      <c r="AL34" s="129">
        <f t="shared" si="2"/>
        <v>0</v>
      </c>
      <c r="AM34" s="128">
        <f t="shared" si="3"/>
        <v>0</v>
      </c>
      <c r="AN34" s="50"/>
      <c r="AO34" s="51" t="str">
        <f t="shared" si="25"/>
        <v/>
      </c>
      <c r="AP34" s="21"/>
      <c r="AQ34" s="52"/>
    </row>
    <row r="35" spans="1:43" hidden="1" x14ac:dyDescent="0.25">
      <c r="A35" s="53" t="str" cm="1">
        <f t="array" aca="1" ref="A35" ca="1">IFERROR(IF(AM35&gt;0,IF(_xlfn.XLOOKUP(F35,INDIRECT(B35),INDIRECT(B35),"NO")="NO","",_xlfn.XLOOKUP($C35,LUT!$B$3:$B$200,LUT!$D$3:$D$200,"")&amp;""),""),"")</f>
        <v/>
      </c>
      <c r="B35" s="54"/>
      <c r="C35" s="56"/>
      <c r="D35" s="88"/>
      <c r="E35" s="88"/>
      <c r="F35" s="55"/>
      <c r="G35" s="101"/>
      <c r="H35" s="117"/>
      <c r="I35" s="117"/>
      <c r="J35" s="117"/>
      <c r="K35" s="117"/>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8">
        <f t="shared" si="0"/>
        <v>0</v>
      </c>
      <c r="AK35" s="119">
        <f t="shared" si="1"/>
        <v>0</v>
      </c>
      <c r="AL35" s="129">
        <f t="shared" si="2"/>
        <v>0</v>
      </c>
      <c r="AM35" s="128">
        <f t="shared" si="3"/>
        <v>0</v>
      </c>
      <c r="AN35" s="50"/>
      <c r="AO35" s="51" t="str">
        <f t="shared" si="25"/>
        <v/>
      </c>
      <c r="AP35" s="21"/>
      <c r="AQ35" s="52"/>
    </row>
    <row r="36" spans="1:43" hidden="1" x14ac:dyDescent="0.25">
      <c r="A36" s="53" t="str" cm="1">
        <f t="array" aca="1" ref="A36" ca="1">IFERROR(IF(AM36&gt;0,IF(_xlfn.XLOOKUP(F36,INDIRECT(B36),INDIRECT(B36),"NO")="NO","",_xlfn.XLOOKUP($C36,LUT!$B$3:$B$200,LUT!$D$3:$D$200,"")&amp;""),""),"")</f>
        <v/>
      </c>
      <c r="B36" s="54"/>
      <c r="C36" s="56"/>
      <c r="D36" s="88"/>
      <c r="E36" s="88"/>
      <c r="F36" s="55"/>
      <c r="G36" s="101"/>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8">
        <f t="shared" si="0"/>
        <v>0</v>
      </c>
      <c r="AK36" s="119">
        <f t="shared" si="1"/>
        <v>0</v>
      </c>
      <c r="AL36" s="129">
        <f t="shared" si="2"/>
        <v>0</v>
      </c>
      <c r="AM36" s="128">
        <f t="shared" si="3"/>
        <v>0</v>
      </c>
      <c r="AN36" s="50"/>
      <c r="AO36" s="51" t="str">
        <f t="shared" si="25"/>
        <v/>
      </c>
      <c r="AP36" s="21"/>
      <c r="AQ36" s="52"/>
    </row>
    <row r="37" spans="1:43" hidden="1" x14ac:dyDescent="0.25">
      <c r="A37" s="53" t="str" cm="1">
        <f t="array" aca="1" ref="A37" ca="1">IFERROR(IF(AM37&gt;0,IF(_xlfn.XLOOKUP(F37,INDIRECT(B37),INDIRECT(B37),"NO")="NO","",_xlfn.XLOOKUP($C37,LUT!$B$3:$B$200,LUT!$D$3:$D$200,"")&amp;""),""),"")</f>
        <v/>
      </c>
      <c r="B37" s="54"/>
      <c r="C37" s="56"/>
      <c r="D37" s="88"/>
      <c r="E37" s="88"/>
      <c r="F37" s="55"/>
      <c r="G37" s="101"/>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8">
        <f t="shared" si="0"/>
        <v>0</v>
      </c>
      <c r="AK37" s="119">
        <f t="shared" si="1"/>
        <v>0</v>
      </c>
      <c r="AL37" s="129">
        <f t="shared" si="2"/>
        <v>0</v>
      </c>
      <c r="AM37" s="128">
        <f t="shared" si="3"/>
        <v>0</v>
      </c>
      <c r="AN37" s="50"/>
      <c r="AO37" s="51" t="str">
        <f t="shared" si="25"/>
        <v/>
      </c>
      <c r="AP37" s="21"/>
      <c r="AQ37" s="52"/>
    </row>
    <row r="38" spans="1:43" hidden="1" x14ac:dyDescent="0.25">
      <c r="A38" s="53" t="str" cm="1">
        <f t="array" aca="1" ref="A38" ca="1">IFERROR(IF(AM38&gt;0,IF(_xlfn.XLOOKUP(F38,INDIRECT(B38),INDIRECT(B38),"NO")="NO","",_xlfn.XLOOKUP($C38,LUT!$B$3:$B$200,LUT!$D$3:$D$200,"")&amp;""),""),"")</f>
        <v/>
      </c>
      <c r="B38" s="54"/>
      <c r="C38" s="56"/>
      <c r="D38" s="88"/>
      <c r="E38" s="88"/>
      <c r="F38" s="55"/>
      <c r="G38" s="101"/>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8">
        <f t="shared" si="0"/>
        <v>0</v>
      </c>
      <c r="AK38" s="119">
        <f t="shared" si="1"/>
        <v>0</v>
      </c>
      <c r="AL38" s="129">
        <f t="shared" si="2"/>
        <v>0</v>
      </c>
      <c r="AM38" s="128">
        <f t="shared" si="3"/>
        <v>0</v>
      </c>
      <c r="AN38" s="50"/>
      <c r="AO38" s="51" t="str">
        <f t="shared" si="25"/>
        <v/>
      </c>
      <c r="AP38" s="21"/>
      <c r="AQ38" s="52"/>
    </row>
    <row r="39" spans="1:43" hidden="1" x14ac:dyDescent="0.25">
      <c r="A39" s="53" t="str" cm="1">
        <f t="array" aca="1" ref="A39" ca="1">IFERROR(IF(AM39&gt;0,IF(_xlfn.XLOOKUP(F39,INDIRECT(B39),INDIRECT(B39),"NO")="NO","",_xlfn.XLOOKUP($C39,LUT!$B$3:$B$200,LUT!$D$3:$D$200,"")&amp;""),""),"")</f>
        <v/>
      </c>
      <c r="B39" s="54"/>
      <c r="C39" s="56"/>
      <c r="D39" s="88"/>
      <c r="E39" s="88"/>
      <c r="F39" s="55"/>
      <c r="G39" s="101"/>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8">
        <f t="shared" si="0"/>
        <v>0</v>
      </c>
      <c r="AK39" s="119">
        <f t="shared" si="1"/>
        <v>0</v>
      </c>
      <c r="AL39" s="129">
        <f t="shared" si="2"/>
        <v>0</v>
      </c>
      <c r="AM39" s="128">
        <f t="shared" si="3"/>
        <v>0</v>
      </c>
      <c r="AN39" s="50"/>
      <c r="AO39" s="51" t="str">
        <f t="shared" si="25"/>
        <v/>
      </c>
      <c r="AP39" s="21"/>
      <c r="AQ39" s="52"/>
    </row>
    <row r="40" spans="1:43" hidden="1" x14ac:dyDescent="0.25">
      <c r="A40" s="53" t="str" cm="1">
        <f t="array" aca="1" ref="A40" ca="1">IFERROR(IF(AM40&gt;0,IF(_xlfn.XLOOKUP(F40,INDIRECT(B40),INDIRECT(B40),"NO")="NO","",_xlfn.XLOOKUP($C40,LUT!$B$3:$B$200,LUT!$D$3:$D$200,"")&amp;""),""),"")</f>
        <v/>
      </c>
      <c r="B40" s="54"/>
      <c r="C40" s="56"/>
      <c r="D40" s="88"/>
      <c r="E40" s="88"/>
      <c r="F40" s="55"/>
      <c r="G40" s="101"/>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8">
        <f t="shared" si="0"/>
        <v>0</v>
      </c>
      <c r="AK40" s="119">
        <f t="shared" si="1"/>
        <v>0</v>
      </c>
      <c r="AL40" s="129">
        <f t="shared" si="2"/>
        <v>0</v>
      </c>
      <c r="AM40" s="128">
        <f t="shared" si="3"/>
        <v>0</v>
      </c>
      <c r="AN40" s="50"/>
      <c r="AO40" s="51" t="str">
        <f t="shared" si="25"/>
        <v/>
      </c>
      <c r="AP40" s="21"/>
      <c r="AQ40" s="52"/>
    </row>
    <row r="41" spans="1:43" hidden="1" x14ac:dyDescent="0.25">
      <c r="A41" s="53" t="str" cm="1">
        <f t="array" aca="1" ref="A41" ca="1">IFERROR(IF(AM41&gt;0,IF(_xlfn.XLOOKUP(F41,INDIRECT(B41),INDIRECT(B41),"NO")="NO","",_xlfn.XLOOKUP($C41,LUT!$B$3:$B$200,LUT!$D$3:$D$200,"")&amp;""),""),"")</f>
        <v/>
      </c>
      <c r="B41" s="54"/>
      <c r="C41" s="56"/>
      <c r="D41" s="88"/>
      <c r="E41" s="88"/>
      <c r="F41" s="55"/>
      <c r="G41" s="101"/>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8">
        <f t="shared" si="0"/>
        <v>0</v>
      </c>
      <c r="AK41" s="119">
        <f t="shared" si="1"/>
        <v>0</v>
      </c>
      <c r="AL41" s="129">
        <f t="shared" si="2"/>
        <v>0</v>
      </c>
      <c r="AM41" s="128">
        <f t="shared" si="3"/>
        <v>0</v>
      </c>
      <c r="AN41" s="50"/>
      <c r="AO41" s="51" t="str">
        <f t="shared" si="25"/>
        <v/>
      </c>
      <c r="AP41" s="21"/>
      <c r="AQ41" s="52"/>
    </row>
    <row r="42" spans="1:43" hidden="1" x14ac:dyDescent="0.25">
      <c r="A42" s="53" t="str" cm="1">
        <f t="array" aca="1" ref="A42" ca="1">IFERROR(IF(AM42&gt;0,IF(_xlfn.XLOOKUP(F42,INDIRECT(B42),INDIRECT(B42),"NO")="NO","",_xlfn.XLOOKUP($C42,LUT!$B$3:$B$200,LUT!$D$3:$D$200,"")&amp;""),""),"")</f>
        <v/>
      </c>
      <c r="B42" s="54"/>
      <c r="C42" s="56"/>
      <c r="D42" s="88"/>
      <c r="E42" s="88"/>
      <c r="F42" s="55"/>
      <c r="G42" s="101"/>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8">
        <f t="shared" ref="AJ42:AJ59" si="26">SUM(H42:AI42)</f>
        <v>0</v>
      </c>
      <c r="AK42" s="119">
        <f t="shared" ref="AK42:AK59" si="27">MAX(H42:AI42)</f>
        <v>0</v>
      </c>
      <c r="AL42" s="129">
        <f t="shared" ref="AL42:AL59" si="28">_xlfn.XLOOKUP(E42,Location,labour,0)</f>
        <v>0</v>
      </c>
      <c r="AM42" s="128">
        <f t="shared" ref="AM42:AM59" si="29">AL42*AJ42</f>
        <v>0</v>
      </c>
      <c r="AN42" s="50"/>
      <c r="AO42" s="51" t="str">
        <f t="shared" si="25"/>
        <v/>
      </c>
      <c r="AP42" s="21"/>
      <c r="AQ42" s="52"/>
    </row>
    <row r="43" spans="1:43" hidden="1" x14ac:dyDescent="0.25">
      <c r="A43" s="53" t="str" cm="1">
        <f t="array" aca="1" ref="A43" ca="1">IFERROR(IF(AM43&gt;0,IF(_xlfn.XLOOKUP(F43,INDIRECT(B43),INDIRECT(B43),"NO")="NO","",_xlfn.XLOOKUP($C43,LUT!$B$3:$B$200,LUT!$D$3:$D$200,"")&amp;""),""),"")</f>
        <v/>
      </c>
      <c r="B43" s="54"/>
      <c r="C43" s="56"/>
      <c r="D43" s="88"/>
      <c r="E43" s="88"/>
      <c r="F43" s="55"/>
      <c r="G43" s="101"/>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8">
        <f t="shared" si="26"/>
        <v>0</v>
      </c>
      <c r="AK43" s="119">
        <f t="shared" si="27"/>
        <v>0</v>
      </c>
      <c r="AL43" s="129">
        <f t="shared" si="28"/>
        <v>0</v>
      </c>
      <c r="AM43" s="128">
        <f t="shared" si="29"/>
        <v>0</v>
      </c>
      <c r="AN43" s="50"/>
      <c r="AO43" s="51" t="str">
        <f t="shared" si="25"/>
        <v/>
      </c>
      <c r="AP43" s="21"/>
      <c r="AQ43" s="52"/>
    </row>
    <row r="44" spans="1:43" hidden="1" x14ac:dyDescent="0.25">
      <c r="A44" s="53" t="str" cm="1">
        <f t="array" aca="1" ref="A44" ca="1">IFERROR(IF(AM44&gt;0,IF(_xlfn.XLOOKUP(F44,INDIRECT(B44),INDIRECT(B44),"NO")="NO","",_xlfn.XLOOKUP($C44,LUT!$B$3:$B$200,LUT!$D$3:$D$200,"")&amp;""),""),"")</f>
        <v/>
      </c>
      <c r="B44" s="54"/>
      <c r="C44" s="56"/>
      <c r="D44" s="88"/>
      <c r="E44" s="88"/>
      <c r="F44" s="55"/>
      <c r="G44" s="101"/>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8">
        <f t="shared" si="26"/>
        <v>0</v>
      </c>
      <c r="AK44" s="119">
        <f t="shared" si="27"/>
        <v>0</v>
      </c>
      <c r="AL44" s="129">
        <f t="shared" si="28"/>
        <v>0</v>
      </c>
      <c r="AM44" s="128">
        <f t="shared" si="29"/>
        <v>0</v>
      </c>
      <c r="AN44" s="50"/>
      <c r="AO44" s="51" t="str">
        <f t="shared" si="25"/>
        <v/>
      </c>
      <c r="AP44" s="21"/>
      <c r="AQ44" s="52"/>
    </row>
    <row r="45" spans="1:43" hidden="1" x14ac:dyDescent="0.25">
      <c r="A45" s="53" t="str" cm="1">
        <f t="array" aca="1" ref="A45" ca="1">IFERROR(IF(AM45&gt;0,IF(_xlfn.XLOOKUP(F45,INDIRECT(B45),INDIRECT(B45),"NO")="NO","",_xlfn.XLOOKUP($C45,LUT!$B$3:$B$200,LUT!$D$3:$D$200,"")&amp;""),""),"")</f>
        <v/>
      </c>
      <c r="B45" s="54"/>
      <c r="C45" s="56"/>
      <c r="D45" s="88"/>
      <c r="E45" s="88"/>
      <c r="F45" s="55"/>
      <c r="G45" s="101"/>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8">
        <f t="shared" si="26"/>
        <v>0</v>
      </c>
      <c r="AK45" s="119">
        <f t="shared" si="27"/>
        <v>0</v>
      </c>
      <c r="AL45" s="129">
        <f t="shared" si="28"/>
        <v>0</v>
      </c>
      <c r="AM45" s="128">
        <f t="shared" si="29"/>
        <v>0</v>
      </c>
      <c r="AN45" s="50"/>
      <c r="AO45" s="51" t="str">
        <f t="shared" si="25"/>
        <v/>
      </c>
      <c r="AP45" s="21"/>
      <c r="AQ45" s="52"/>
    </row>
    <row r="46" spans="1:43" hidden="1" x14ac:dyDescent="0.25">
      <c r="A46" s="53" t="str" cm="1">
        <f t="array" aca="1" ref="A46" ca="1">IFERROR(IF(AM46&gt;0,IF(_xlfn.XLOOKUP(F46,INDIRECT(B46),INDIRECT(B46),"NO")="NO","",_xlfn.XLOOKUP($C46,LUT!$B$3:$B$200,LUT!$D$3:$D$200,"")&amp;""),""),"")</f>
        <v/>
      </c>
      <c r="B46" s="54"/>
      <c r="C46" s="56"/>
      <c r="D46" s="88"/>
      <c r="E46" s="88"/>
      <c r="F46" s="55"/>
      <c r="G46" s="101"/>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8">
        <f t="shared" si="26"/>
        <v>0</v>
      </c>
      <c r="AK46" s="119">
        <f t="shared" si="27"/>
        <v>0</v>
      </c>
      <c r="AL46" s="129">
        <f t="shared" si="28"/>
        <v>0</v>
      </c>
      <c r="AM46" s="128">
        <f t="shared" si="29"/>
        <v>0</v>
      </c>
      <c r="AN46" s="50"/>
      <c r="AO46" s="51" t="str">
        <f t="shared" si="25"/>
        <v/>
      </c>
      <c r="AP46" s="21"/>
      <c r="AQ46" s="52"/>
    </row>
    <row r="47" spans="1:43" hidden="1" x14ac:dyDescent="0.25">
      <c r="A47" s="53" t="str" cm="1">
        <f t="array" aca="1" ref="A47" ca="1">IFERROR(IF(AM47&gt;0,IF(_xlfn.XLOOKUP(F47,INDIRECT(B47),INDIRECT(B47),"NO")="NO","",_xlfn.XLOOKUP($C47,LUT!$B$3:$B$200,LUT!$D$3:$D$200,"")&amp;""),""),"")</f>
        <v/>
      </c>
      <c r="B47" s="54"/>
      <c r="C47" s="56"/>
      <c r="D47" s="88"/>
      <c r="E47" s="88"/>
      <c r="F47" s="55"/>
      <c r="G47" s="101"/>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8">
        <f t="shared" si="26"/>
        <v>0</v>
      </c>
      <c r="AK47" s="119">
        <f t="shared" si="27"/>
        <v>0</v>
      </c>
      <c r="AL47" s="129">
        <f t="shared" si="28"/>
        <v>0</v>
      </c>
      <c r="AM47" s="128">
        <f t="shared" si="29"/>
        <v>0</v>
      </c>
      <c r="AN47" s="50"/>
      <c r="AO47" s="51" t="str">
        <f t="shared" si="25"/>
        <v/>
      </c>
      <c r="AP47" s="21"/>
      <c r="AQ47" s="52"/>
    </row>
    <row r="48" spans="1:43" hidden="1" x14ac:dyDescent="0.25">
      <c r="A48" s="53" t="str" cm="1">
        <f t="array" aca="1" ref="A48" ca="1">IFERROR(IF(AM48&gt;0,IF(_xlfn.XLOOKUP(F48,INDIRECT(B48),INDIRECT(B48),"NO")="NO","",_xlfn.XLOOKUP($C48,LUT!$B$3:$B$200,LUT!$D$3:$D$200,"")&amp;""),""),"")</f>
        <v/>
      </c>
      <c r="B48" s="54"/>
      <c r="C48" s="56"/>
      <c r="D48" s="88"/>
      <c r="E48" s="88"/>
      <c r="F48" s="55"/>
      <c r="G48" s="101"/>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8">
        <f t="shared" si="26"/>
        <v>0</v>
      </c>
      <c r="AK48" s="119">
        <f t="shared" si="27"/>
        <v>0</v>
      </c>
      <c r="AL48" s="129">
        <f t="shared" si="28"/>
        <v>0</v>
      </c>
      <c r="AM48" s="128">
        <f t="shared" si="29"/>
        <v>0</v>
      </c>
      <c r="AN48" s="50"/>
      <c r="AO48" s="51" t="str">
        <f t="shared" si="25"/>
        <v/>
      </c>
      <c r="AP48" s="21"/>
      <c r="AQ48" s="52"/>
    </row>
    <row r="49" spans="1:44" hidden="1" x14ac:dyDescent="0.25">
      <c r="A49" s="53" t="str" cm="1">
        <f t="array" aca="1" ref="A49" ca="1">IFERROR(IF(AM49&gt;0,IF(_xlfn.XLOOKUP(F49,INDIRECT(B49),INDIRECT(B49),"NO")="NO","",_xlfn.XLOOKUP($C49,LUT!$B$3:$B$200,LUT!$D$3:$D$200,"")&amp;""),""),"")</f>
        <v/>
      </c>
      <c r="B49" s="54"/>
      <c r="C49" s="56"/>
      <c r="D49" s="88"/>
      <c r="E49" s="88"/>
      <c r="F49" s="55"/>
      <c r="G49" s="101"/>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c r="AI49" s="117"/>
      <c r="AJ49" s="118">
        <f t="shared" si="26"/>
        <v>0</v>
      </c>
      <c r="AK49" s="119">
        <f t="shared" si="27"/>
        <v>0</v>
      </c>
      <c r="AL49" s="129">
        <f t="shared" si="28"/>
        <v>0</v>
      </c>
      <c r="AM49" s="128">
        <f t="shared" si="29"/>
        <v>0</v>
      </c>
      <c r="AN49" s="50"/>
      <c r="AO49" s="51" t="str">
        <f t="shared" si="25"/>
        <v/>
      </c>
      <c r="AP49" s="21"/>
      <c r="AQ49" s="52"/>
    </row>
    <row r="50" spans="1:44" hidden="1" x14ac:dyDescent="0.25">
      <c r="A50" s="53" t="str" cm="1">
        <f t="array" aca="1" ref="A50" ca="1">IFERROR(IF(AM50&gt;0,IF(_xlfn.XLOOKUP(F50,INDIRECT(B50),INDIRECT(B50),"NO")="NO","",_xlfn.XLOOKUP($C50,LUT!$B$3:$B$200,LUT!$D$3:$D$200,"")&amp;""),""),"")</f>
        <v/>
      </c>
      <c r="B50" s="54"/>
      <c r="C50" s="56"/>
      <c r="D50" s="88"/>
      <c r="E50" s="88"/>
      <c r="F50" s="55"/>
      <c r="G50" s="101"/>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8">
        <f t="shared" si="26"/>
        <v>0</v>
      </c>
      <c r="AK50" s="119">
        <f t="shared" si="27"/>
        <v>0</v>
      </c>
      <c r="AL50" s="129">
        <f t="shared" si="28"/>
        <v>0</v>
      </c>
      <c r="AM50" s="128">
        <f t="shared" si="29"/>
        <v>0</v>
      </c>
      <c r="AN50" s="50"/>
      <c r="AO50" s="51" t="str">
        <f t="shared" si="25"/>
        <v/>
      </c>
      <c r="AP50" s="21"/>
      <c r="AQ50" s="52"/>
    </row>
    <row r="51" spans="1:44" hidden="1" x14ac:dyDescent="0.25">
      <c r="A51" s="53" t="str" cm="1">
        <f t="array" aca="1" ref="A51" ca="1">IFERROR(IF(AM51&gt;0,IF(_xlfn.XLOOKUP(F51,INDIRECT(B51),INDIRECT(B51),"NO")="NO","",_xlfn.XLOOKUP($C51,LUT!$B$3:$B$200,LUT!$D$3:$D$200,"")&amp;""),""),"")</f>
        <v/>
      </c>
      <c r="B51" s="54"/>
      <c r="C51" s="56"/>
      <c r="D51" s="88"/>
      <c r="E51" s="88"/>
      <c r="F51" s="55"/>
      <c r="G51" s="101"/>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8">
        <f t="shared" si="26"/>
        <v>0</v>
      </c>
      <c r="AK51" s="119">
        <f t="shared" si="27"/>
        <v>0</v>
      </c>
      <c r="AL51" s="129">
        <f t="shared" si="28"/>
        <v>0</v>
      </c>
      <c r="AM51" s="128">
        <f t="shared" si="29"/>
        <v>0</v>
      </c>
      <c r="AN51" s="50"/>
      <c r="AO51" s="51" t="str">
        <f t="shared" si="25"/>
        <v/>
      </c>
      <c r="AP51" s="21"/>
      <c r="AQ51" s="52"/>
    </row>
    <row r="52" spans="1:44" hidden="1" x14ac:dyDescent="0.25">
      <c r="A52" s="53" t="str" cm="1">
        <f t="array" aca="1" ref="A52" ca="1">IFERROR(IF(AM52&gt;0,IF(_xlfn.XLOOKUP(F52,INDIRECT(B52),INDIRECT(B52),"NO")="NO","",_xlfn.XLOOKUP($C52,LUT!$B$3:$B$200,LUT!$D$3:$D$200,"")&amp;""),""),"")</f>
        <v/>
      </c>
      <c r="B52" s="54"/>
      <c r="C52" s="56"/>
      <c r="D52" s="88"/>
      <c r="E52" s="88"/>
      <c r="F52" s="55"/>
      <c r="G52" s="101"/>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8">
        <f t="shared" si="26"/>
        <v>0</v>
      </c>
      <c r="AK52" s="119">
        <f t="shared" si="27"/>
        <v>0</v>
      </c>
      <c r="AL52" s="129">
        <f t="shared" si="28"/>
        <v>0</v>
      </c>
      <c r="AM52" s="128">
        <f t="shared" si="29"/>
        <v>0</v>
      </c>
      <c r="AN52" s="50"/>
      <c r="AO52" s="51" t="str">
        <f t="shared" si="25"/>
        <v/>
      </c>
      <c r="AP52" s="21"/>
      <c r="AQ52" s="52"/>
    </row>
    <row r="53" spans="1:44" hidden="1" x14ac:dyDescent="0.25">
      <c r="A53" s="53" t="str" cm="1">
        <f t="array" aca="1" ref="A53" ca="1">IFERROR(IF(AM53&gt;0,IF(_xlfn.XLOOKUP(F53,INDIRECT(B53),INDIRECT(B53),"NO")="NO","",_xlfn.XLOOKUP($C53,LUT!$B$3:$B$200,LUT!$D$3:$D$200,"")&amp;""),""),"")</f>
        <v/>
      </c>
      <c r="B53" s="54"/>
      <c r="C53" s="56"/>
      <c r="D53" s="88"/>
      <c r="E53" s="88"/>
      <c r="F53" s="55"/>
      <c r="G53" s="101"/>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8">
        <f t="shared" si="26"/>
        <v>0</v>
      </c>
      <c r="AK53" s="119">
        <f t="shared" si="27"/>
        <v>0</v>
      </c>
      <c r="AL53" s="129">
        <f t="shared" si="28"/>
        <v>0</v>
      </c>
      <c r="AM53" s="128">
        <f t="shared" si="29"/>
        <v>0</v>
      </c>
      <c r="AN53" s="50"/>
      <c r="AO53" s="51" t="str">
        <f t="shared" si="25"/>
        <v/>
      </c>
      <c r="AP53" s="21"/>
      <c r="AQ53" s="52"/>
    </row>
    <row r="54" spans="1:44" hidden="1" x14ac:dyDescent="0.25">
      <c r="A54" s="53" t="str" cm="1">
        <f t="array" aca="1" ref="A54" ca="1">IFERROR(IF(AM54&gt;0,IF(_xlfn.XLOOKUP(F54,INDIRECT(B54),INDIRECT(B54),"NO")="NO","",_xlfn.XLOOKUP($C54,LUT!$B$3:$B$200,LUT!$D$3:$D$200,"")&amp;""),""),"")</f>
        <v/>
      </c>
      <c r="B54" s="54"/>
      <c r="C54" s="56"/>
      <c r="D54" s="88"/>
      <c r="E54" s="88"/>
      <c r="F54" s="55"/>
      <c r="G54" s="101"/>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118">
        <f t="shared" si="26"/>
        <v>0</v>
      </c>
      <c r="AK54" s="119">
        <f t="shared" si="27"/>
        <v>0</v>
      </c>
      <c r="AL54" s="129">
        <f t="shared" si="28"/>
        <v>0</v>
      </c>
      <c r="AM54" s="128">
        <f t="shared" si="29"/>
        <v>0</v>
      </c>
      <c r="AN54" s="50"/>
      <c r="AO54" s="51" t="str">
        <f t="shared" si="25"/>
        <v/>
      </c>
      <c r="AP54" s="21"/>
      <c r="AQ54" s="52"/>
    </row>
    <row r="55" spans="1:44" hidden="1" x14ac:dyDescent="0.25">
      <c r="A55" s="53" t="str" cm="1">
        <f t="array" aca="1" ref="A55" ca="1">IFERROR(IF(AM55&gt;0,IF(_xlfn.XLOOKUP(F55,INDIRECT(B55),INDIRECT(B55),"NO")="NO","",_xlfn.XLOOKUP($C55,LUT!$B$3:$B$200,LUT!$D$3:$D$200,"")&amp;""),""),"")</f>
        <v/>
      </c>
      <c r="B55" s="54"/>
      <c r="C55" s="56"/>
      <c r="D55" s="88"/>
      <c r="E55" s="88"/>
      <c r="F55" s="55"/>
      <c r="G55" s="101"/>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8">
        <f t="shared" si="26"/>
        <v>0</v>
      </c>
      <c r="AK55" s="119">
        <f t="shared" si="27"/>
        <v>0</v>
      </c>
      <c r="AL55" s="129">
        <f t="shared" si="28"/>
        <v>0</v>
      </c>
      <c r="AM55" s="128">
        <f t="shared" si="29"/>
        <v>0</v>
      </c>
      <c r="AN55" s="50"/>
      <c r="AO55" s="51" t="str">
        <f t="shared" si="25"/>
        <v/>
      </c>
      <c r="AP55" s="21"/>
      <c r="AQ55" s="52"/>
    </row>
    <row r="56" spans="1:44" hidden="1" x14ac:dyDescent="0.25">
      <c r="A56" s="53" t="str" cm="1">
        <f t="array" aca="1" ref="A56" ca="1">IFERROR(IF(AM56&gt;0,IF(_xlfn.XLOOKUP(F56,INDIRECT(B56),INDIRECT(B56),"NO")="NO","",_xlfn.XLOOKUP($C56,LUT!$B$3:$B$200,LUT!$D$3:$D$200,"")&amp;""),""),"")</f>
        <v/>
      </c>
      <c r="B56" s="54"/>
      <c r="C56" s="56"/>
      <c r="D56" s="88"/>
      <c r="E56" s="88"/>
      <c r="F56" s="55"/>
      <c r="G56" s="101"/>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8">
        <f t="shared" si="26"/>
        <v>0</v>
      </c>
      <c r="AK56" s="119">
        <f t="shared" si="27"/>
        <v>0</v>
      </c>
      <c r="AL56" s="129">
        <f t="shared" si="28"/>
        <v>0</v>
      </c>
      <c r="AM56" s="128">
        <f t="shared" si="29"/>
        <v>0</v>
      </c>
      <c r="AN56" s="50"/>
      <c r="AO56" s="51" t="str">
        <f t="shared" si="25"/>
        <v/>
      </c>
      <c r="AP56" s="21"/>
      <c r="AQ56" s="52"/>
    </row>
    <row r="57" spans="1:44" hidden="1" x14ac:dyDescent="0.25">
      <c r="A57" s="53" t="str" cm="1">
        <f t="array" aca="1" ref="A57" ca="1">IFERROR(IF(AM57&gt;0,IF(_xlfn.XLOOKUP(F57,INDIRECT(B57),INDIRECT(B57),"NO")="NO","",_xlfn.XLOOKUP($C57,LUT!$B$3:$B$200,LUT!$D$3:$D$200,"")&amp;""),""),"")</f>
        <v/>
      </c>
      <c r="B57" s="54"/>
      <c r="C57" s="56"/>
      <c r="D57" s="88"/>
      <c r="E57" s="88"/>
      <c r="F57" s="55"/>
      <c r="G57" s="101"/>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c r="AI57" s="117"/>
      <c r="AJ57" s="118">
        <f t="shared" si="26"/>
        <v>0</v>
      </c>
      <c r="AK57" s="119">
        <f t="shared" si="27"/>
        <v>0</v>
      </c>
      <c r="AL57" s="129">
        <f t="shared" si="28"/>
        <v>0</v>
      </c>
      <c r="AM57" s="128">
        <f t="shared" si="29"/>
        <v>0</v>
      </c>
      <c r="AN57" s="50"/>
      <c r="AO57" s="51" t="str">
        <f t="shared" si="25"/>
        <v/>
      </c>
      <c r="AP57" s="21"/>
      <c r="AQ57" s="52"/>
    </row>
    <row r="58" spans="1:44" hidden="1" x14ac:dyDescent="0.25">
      <c r="A58" s="53" t="str" cm="1">
        <f t="array" aca="1" ref="A58" ca="1">IFERROR(IF(AM58&gt;0,IF(_xlfn.XLOOKUP(F58,INDIRECT(B58),INDIRECT(B58),"NO")="NO","",_xlfn.XLOOKUP($C58,LUT!$B$3:$B$200,LUT!$D$3:$D$200,"")&amp;""),""),"")</f>
        <v/>
      </c>
      <c r="B58" s="54"/>
      <c r="C58" s="56"/>
      <c r="D58" s="88"/>
      <c r="E58" s="88"/>
      <c r="F58" s="55"/>
      <c r="G58" s="101"/>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8">
        <f t="shared" si="26"/>
        <v>0</v>
      </c>
      <c r="AK58" s="119">
        <f t="shared" si="27"/>
        <v>0</v>
      </c>
      <c r="AL58" s="129">
        <f t="shared" si="28"/>
        <v>0</v>
      </c>
      <c r="AM58" s="128">
        <f t="shared" si="29"/>
        <v>0</v>
      </c>
      <c r="AN58" s="50"/>
      <c r="AO58" s="51"/>
      <c r="AP58" s="21"/>
      <c r="AQ58" s="52"/>
    </row>
    <row r="59" spans="1:44" hidden="1" x14ac:dyDescent="0.25">
      <c r="A59" s="53" t="str" cm="1">
        <f t="array" aca="1" ref="A59" ca="1">IFERROR(IF(AM59&gt;0,IF(_xlfn.XLOOKUP(F59,INDIRECT(B59),INDIRECT(B59),"NO")="NO","",_xlfn.XLOOKUP($C59,LUT!$B$3:$B$200,LUT!$D$3:$D$200,"")&amp;""),""),"")</f>
        <v/>
      </c>
      <c r="B59" s="54"/>
      <c r="C59" s="56"/>
      <c r="D59" s="88"/>
      <c r="E59" s="88"/>
      <c r="F59" s="55"/>
      <c r="G59" s="101"/>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8">
        <f t="shared" si="26"/>
        <v>0</v>
      </c>
      <c r="AK59" s="119">
        <f t="shared" si="27"/>
        <v>0</v>
      </c>
      <c r="AL59" s="129">
        <f t="shared" si="28"/>
        <v>0</v>
      </c>
      <c r="AM59" s="128">
        <f t="shared" si="29"/>
        <v>0</v>
      </c>
      <c r="AN59" s="50"/>
      <c r="AO59" s="51" t="str">
        <f>IF($AM59&gt;0,IF(AND($G59&lt;&gt;"",$F59&lt;&gt;"",$A59&lt;&gt;"",$B59&lt;&gt;"",$C59&lt;&gt;""),"","Check"),"")</f>
        <v/>
      </c>
      <c r="AP59" s="21"/>
      <c r="AQ59" s="52"/>
    </row>
    <row r="60" spans="1:44" x14ac:dyDescent="0.25">
      <c r="A60" s="57"/>
      <c r="B60" s="57"/>
      <c r="C60" s="57"/>
      <c r="D60" s="57"/>
      <c r="E60" s="57"/>
      <c r="F60" s="57"/>
      <c r="G60" s="57"/>
      <c r="H60" s="120"/>
      <c r="I60" s="120"/>
      <c r="J60" s="120"/>
      <c r="K60" s="120"/>
      <c r="L60" s="120"/>
      <c r="M60" s="120"/>
      <c r="N60" s="120"/>
      <c r="O60" s="120"/>
      <c r="P60" s="120"/>
      <c r="Q60" s="120"/>
      <c r="R60" s="120"/>
      <c r="S60" s="120"/>
      <c r="T60" s="120"/>
      <c r="U60" s="120"/>
      <c r="V60" s="120"/>
      <c r="W60" s="120"/>
      <c r="X60" s="120"/>
      <c r="Y60" s="120"/>
      <c r="Z60" s="120"/>
      <c r="AA60" s="120"/>
      <c r="AB60" s="120"/>
      <c r="AC60" s="120"/>
      <c r="AD60" s="120"/>
      <c r="AE60" s="120"/>
      <c r="AF60" s="120"/>
      <c r="AG60" s="121"/>
      <c r="AH60" s="121"/>
      <c r="AI60" s="121"/>
      <c r="AJ60" s="122"/>
      <c r="AK60" s="123"/>
      <c r="AL60" s="130"/>
      <c r="AM60" s="131"/>
      <c r="AN60" s="58"/>
      <c r="AO60" s="59"/>
      <c r="AP60" s="21"/>
      <c r="AQ60" s="52"/>
    </row>
    <row r="61" spans="1:44" x14ac:dyDescent="0.25">
      <c r="A61" s="225" t="s">
        <v>110</v>
      </c>
      <c r="B61" s="226"/>
      <c r="C61" s="226"/>
      <c r="D61" s="226"/>
      <c r="E61" s="227"/>
      <c r="F61" s="228" t="s">
        <v>111</v>
      </c>
      <c r="G61" s="60" t="s">
        <v>88</v>
      </c>
      <c r="H61" s="124" cm="1">
        <f t="array" aca="1" ref="H61" ca="1">SUMPRODUCT(SUBTOTAL(9,OFFSET(H$6,ROW(H$6:H$60)-ROW(H$6),)),--($G$6:$G$60=$G61))</f>
        <v>0</v>
      </c>
      <c r="I61" s="124" cm="1">
        <f t="array" aca="1" ref="I61" ca="1">SUMPRODUCT(SUBTOTAL(9,OFFSET(I$6,ROW(I$6:I$60)-ROW(I$6),)),--($G$6:$G$60=$G61))</f>
        <v>0</v>
      </c>
      <c r="J61" s="124" cm="1">
        <f t="array" aca="1" ref="J61" ca="1">SUMPRODUCT(SUBTOTAL(9,OFFSET(J$6,ROW(J$6:J$60)-ROW(J$6),)),--($G$6:$G$60=$G61))</f>
        <v>0</v>
      </c>
      <c r="K61" s="124" cm="1">
        <f t="array" aca="1" ref="K61" ca="1">SUMPRODUCT(SUBTOTAL(9,OFFSET(K$6,ROW(K$6:K$60)-ROW(K$6),)),--($G$6:$G$60=$G61))</f>
        <v>0</v>
      </c>
      <c r="L61" s="124" cm="1">
        <f t="array" aca="1" ref="L61" ca="1">SUMPRODUCT(SUBTOTAL(9,OFFSET(L$6,ROW(L$6:L$60)-ROW(L$6),)),--($G$6:$G$60=$G61))</f>
        <v>0</v>
      </c>
      <c r="M61" s="124" cm="1">
        <f t="array" aca="1" ref="M61" ca="1">SUMPRODUCT(SUBTOTAL(9,OFFSET(M$6,ROW(M$6:M$60)-ROW(M$6),)),--($G$6:$G$60=$G61))</f>
        <v>0</v>
      </c>
      <c r="N61" s="124" cm="1">
        <f t="array" aca="1" ref="N61" ca="1">SUMPRODUCT(SUBTOTAL(9,OFFSET(N$6,ROW(N$6:N$60)-ROW(N$6),)),--($G$6:$G$60=$G61))</f>
        <v>0</v>
      </c>
      <c r="O61" s="124" cm="1">
        <f t="array" aca="1" ref="O61" ca="1">SUMPRODUCT(SUBTOTAL(9,OFFSET(O$6,ROW(O$6:O$60)-ROW(O$6),)),--($G$6:$G$60=$G61))</f>
        <v>0</v>
      </c>
      <c r="P61" s="124" cm="1">
        <f t="array" aca="1" ref="P61" ca="1">SUMPRODUCT(SUBTOTAL(9,OFFSET(P$6,ROW(P$6:P$60)-ROW(P$6),)),--($G$6:$G$60=$G61))</f>
        <v>0</v>
      </c>
      <c r="Q61" s="124" cm="1">
        <f t="array" aca="1" ref="Q61" ca="1">SUMPRODUCT(SUBTOTAL(9,OFFSET(Q$6,ROW(Q$6:Q$60)-ROW(Q$6),)),--($G$6:$G$60=$G61))</f>
        <v>0</v>
      </c>
      <c r="R61" s="124" cm="1">
        <f t="array" aca="1" ref="R61" ca="1">SUMPRODUCT(SUBTOTAL(9,OFFSET(R$6,ROW(R$6:R$60)-ROW(R$6),)),--($G$6:$G$60=$G61))</f>
        <v>0</v>
      </c>
      <c r="S61" s="124" cm="1">
        <f t="array" aca="1" ref="S61" ca="1">SUMPRODUCT(SUBTOTAL(9,OFFSET(S$6,ROW(S$6:S$60)-ROW(S$6),)),--($G$6:$G$60=$G61))</f>
        <v>0</v>
      </c>
      <c r="T61" s="124" cm="1">
        <f t="array" aca="1" ref="T61" ca="1">SUMPRODUCT(SUBTOTAL(9,OFFSET(T$6,ROW(T$6:T$60)-ROW(T$6),)),--($G$6:$G$60=$G61))</f>
        <v>0</v>
      </c>
      <c r="U61" s="124" cm="1">
        <f t="array" aca="1" ref="U61" ca="1">SUMPRODUCT(SUBTOTAL(9,OFFSET(U$6,ROW(U$6:U$60)-ROW(U$6),)),--($G$6:$G$60=$G61))</f>
        <v>0</v>
      </c>
      <c r="V61" s="124" cm="1">
        <f t="array" aca="1" ref="V61" ca="1">SUMPRODUCT(SUBTOTAL(9,OFFSET(V$6,ROW(V$6:V$60)-ROW(V$6),)),--($G$6:$G$60=$G61))</f>
        <v>0</v>
      </c>
      <c r="W61" s="124" cm="1">
        <f t="array" aca="1" ref="W61" ca="1">SUMPRODUCT(SUBTOTAL(9,OFFSET(W$6,ROW(W$6:W$60)-ROW(W$6),)),--($G$6:$G$60=$G61))</f>
        <v>0</v>
      </c>
      <c r="X61" s="124" cm="1">
        <f t="array" aca="1" ref="X61" ca="1">SUMPRODUCT(SUBTOTAL(9,OFFSET(X$6,ROW(X$6:X$60)-ROW(X$6),)),--($G$6:$G$60=$G61))</f>
        <v>0</v>
      </c>
      <c r="Y61" s="124" cm="1">
        <f t="array" aca="1" ref="Y61" ca="1">SUMPRODUCT(SUBTOTAL(9,OFFSET(Y$6,ROW(Y$6:Y$60)-ROW(Y$6),)),--($G$6:$G$60=$G61))</f>
        <v>0</v>
      </c>
      <c r="Z61" s="124" cm="1">
        <f t="array" aca="1" ref="Z61" ca="1">SUMPRODUCT(SUBTOTAL(9,OFFSET(Z$6,ROW(Z$6:Z$60)-ROW(Z$6),)),--($G$6:$G$60=$G61))</f>
        <v>0</v>
      </c>
      <c r="AA61" s="124" cm="1">
        <f t="array" aca="1" ref="AA61" ca="1">SUMPRODUCT(SUBTOTAL(9,OFFSET(AA$6,ROW(AA$6:AA$60)-ROW(AA$6),)),--($G$6:$G$60=$G61))</f>
        <v>0</v>
      </c>
      <c r="AB61" s="124" cm="1">
        <f t="array" aca="1" ref="AB61" ca="1">SUMPRODUCT(SUBTOTAL(9,OFFSET(AB$6,ROW(AB$6:AB$60)-ROW(AB$6),)),--($G$6:$G$60=$G61))</f>
        <v>0</v>
      </c>
      <c r="AC61" s="124" cm="1">
        <f t="array" aca="1" ref="AC61" ca="1">SUMPRODUCT(SUBTOTAL(9,OFFSET(AC$6,ROW(AC$6:AC$60)-ROW(AC$6),)),--($G$6:$G$60=$G61))</f>
        <v>0</v>
      </c>
      <c r="AD61" s="124" cm="1">
        <f t="array" aca="1" ref="AD61" ca="1">SUMPRODUCT(SUBTOTAL(9,OFFSET(AD$6,ROW(AD$6:AD$60)-ROW(AD$6),)),--($G$6:$G$60=$G61))</f>
        <v>0</v>
      </c>
      <c r="AE61" s="124" cm="1">
        <f t="array" aca="1" ref="AE61" ca="1">SUMPRODUCT(SUBTOTAL(9,OFFSET(AE$6,ROW(AE$6:AE$60)-ROW(AE$6),)),--($G$6:$G$60=$G61))</f>
        <v>0</v>
      </c>
      <c r="AF61" s="124" cm="1">
        <f t="array" aca="1" ref="AF61" ca="1">SUMPRODUCT(SUBTOTAL(9,OFFSET(AF$6,ROW(AF$6:AF$60)-ROW(AF$6),)),--($G$6:$G$60=$G61))</f>
        <v>0</v>
      </c>
      <c r="AG61" s="124" cm="1">
        <f t="array" aca="1" ref="AG61" ca="1">SUMPRODUCT(SUBTOTAL(9,OFFSET(AG$6,ROW(AG$6:AG$60)-ROW(AG$6),)),--($G$6:$G$60=$G61))</f>
        <v>0</v>
      </c>
      <c r="AH61" s="124" cm="1">
        <f t="array" aca="1" ref="AH61" ca="1">SUMPRODUCT(SUBTOTAL(9,OFFSET(AH$6,ROW(AH$6:AH$60)-ROW(AH$6),)),--($G$6:$G$60=$G61))</f>
        <v>0</v>
      </c>
      <c r="AI61" s="124" cm="1">
        <f t="array" aca="1" ref="AI61" ca="1">SUMPRODUCT(SUBTOTAL(9,OFFSET(AI$6,ROW(AI$6:AI$60)-ROW(AI$6),)),--($G$6:$G$60=$G61))</f>
        <v>0</v>
      </c>
      <c r="AJ61" s="125" cm="1">
        <f t="array" aca="1" ref="AJ61" ca="1">SUMPRODUCT(SUBTOTAL(9,OFFSET(AJ$6,ROW(AJ$6:AJ$60)-ROW(AJ$6),)),--($G$6:$G$60=$G61))</f>
        <v>0</v>
      </c>
      <c r="AK61" s="125">
        <f t="shared" ref="AK61:AK63" ca="1" si="30">MAX(H61:AI61)</f>
        <v>0</v>
      </c>
      <c r="AL61" s="132">
        <f ca="1">IFERROR(AM61/AJ61,0)</f>
        <v>0</v>
      </c>
      <c r="AM61" s="133" cm="1">
        <f t="array" aca="1" ref="AM61" ca="1">SUMPRODUCT(SUBTOTAL(9,OFFSET(AM$6,ROW(AM$6:AM$60)-ROW(AM$6),)),--($G$6:$G$60=$G61))</f>
        <v>0</v>
      </c>
      <c r="AN61" s="111"/>
      <c r="AO61" s="112"/>
      <c r="AP61" s="61"/>
      <c r="AQ61" s="61"/>
      <c r="AR61" s="62"/>
    </row>
    <row r="62" spans="1:44" ht="15" customHeight="1" x14ac:dyDescent="0.25">
      <c r="A62" s="231" t="s">
        <v>88</v>
      </c>
      <c r="B62" s="232"/>
      <c r="C62" s="233" t="s">
        <v>112</v>
      </c>
      <c r="D62" s="233"/>
      <c r="E62" s="234"/>
      <c r="F62" s="229"/>
      <c r="G62" s="60" t="s">
        <v>65</v>
      </c>
      <c r="H62" s="124" cm="1">
        <f t="array" aca="1" ref="H62" ca="1">SUMPRODUCT(SUBTOTAL(9,OFFSET(H$6,ROW(H$6:H$60)-ROW(H$6),)),--($G$6:$G$60=$G62))</f>
        <v>0</v>
      </c>
      <c r="I62" s="124" cm="1">
        <f t="array" aca="1" ref="I62" ca="1">SUMPRODUCT(SUBTOTAL(9,OFFSET(I$6,ROW(I$6:I$60)-ROW(I$6),)),--($G$6:$G$60=$G62))</f>
        <v>0</v>
      </c>
      <c r="J62" s="124" cm="1">
        <f t="array" aca="1" ref="J62" ca="1">SUMPRODUCT(SUBTOTAL(9,OFFSET(J$6,ROW(J$6:J$60)-ROW(J$6),)),--($G$6:$G$60=$G62))</f>
        <v>0.5</v>
      </c>
      <c r="K62" s="124" cm="1">
        <f t="array" aca="1" ref="K62" ca="1">SUMPRODUCT(SUBTOTAL(9,OFFSET(K$6,ROW(K$6:K$60)-ROW(K$6),)),--($G$6:$G$60=$G62))</f>
        <v>1.5</v>
      </c>
      <c r="L62" s="124" cm="1">
        <f t="array" aca="1" ref="L62" ca="1">SUMPRODUCT(SUBTOTAL(9,OFFSET(L$6,ROW(L$6:L$60)-ROW(L$6),)),--($G$6:$G$60=$G62))</f>
        <v>2.5</v>
      </c>
      <c r="M62" s="124" cm="1">
        <f t="array" aca="1" ref="M62" ca="1">SUMPRODUCT(SUBTOTAL(9,OFFSET(M$6,ROW(M$6:M$60)-ROW(M$6),)),--($G$6:$G$60=$G62))</f>
        <v>2.5</v>
      </c>
      <c r="N62" s="124" cm="1">
        <f t="array" aca="1" ref="N62" ca="1">SUMPRODUCT(SUBTOTAL(9,OFFSET(N$6,ROW(N$6:N$60)-ROW(N$6),)),--($G$6:$G$60=$G62))</f>
        <v>2.5</v>
      </c>
      <c r="O62" s="124" cm="1">
        <f t="array" aca="1" ref="O62" ca="1">SUMPRODUCT(SUBTOTAL(9,OFFSET(O$6,ROW(O$6:O$60)-ROW(O$6),)),--($G$6:$G$60=$G62))</f>
        <v>2.5</v>
      </c>
      <c r="P62" s="124" cm="1">
        <f t="array" aca="1" ref="P62" ca="1">SUMPRODUCT(SUBTOTAL(9,OFFSET(P$6,ROW(P$6:P$60)-ROW(P$6),)),--($G$6:$G$60=$G62))</f>
        <v>2.5</v>
      </c>
      <c r="Q62" s="124" cm="1">
        <f t="array" aca="1" ref="Q62" ca="1">SUMPRODUCT(SUBTOTAL(9,OFFSET(Q$6,ROW(Q$6:Q$60)-ROW(Q$6),)),--($G$6:$G$60=$G62))</f>
        <v>15</v>
      </c>
      <c r="R62" s="124" cm="1">
        <f t="array" aca="1" ref="R62" ca="1">SUMPRODUCT(SUBTOTAL(9,OFFSET(R$6,ROW(R$6:R$60)-ROW(R$6),)),--($G$6:$G$60=$G62))</f>
        <v>17</v>
      </c>
      <c r="S62" s="124" cm="1">
        <f t="array" aca="1" ref="S62" ca="1">SUMPRODUCT(SUBTOTAL(9,OFFSET(S$6,ROW(S$6:S$60)-ROW(S$6),)),--($G$6:$G$60=$G62))</f>
        <v>23</v>
      </c>
      <c r="T62" s="124" cm="1">
        <f t="array" aca="1" ref="T62" ca="1">SUMPRODUCT(SUBTOTAL(9,OFFSET(T$6,ROW(T$6:T$60)-ROW(T$6),)),--($G$6:$G$60=$G62))</f>
        <v>24</v>
      </c>
      <c r="U62" s="124" cm="1">
        <f t="array" aca="1" ref="U62" ca="1">SUMPRODUCT(SUBTOTAL(9,OFFSET(U$6,ROW(U$6:U$60)-ROW(U$6),)),--($G$6:$G$60=$G62))</f>
        <v>24</v>
      </c>
      <c r="V62" s="124" cm="1">
        <f t="array" aca="1" ref="V62" ca="1">SUMPRODUCT(SUBTOTAL(9,OFFSET(V$6,ROW(V$6:V$60)-ROW(V$6),)),--($G$6:$G$60=$G62))</f>
        <v>22</v>
      </c>
      <c r="W62" s="124" cm="1">
        <f t="array" aca="1" ref="W62" ca="1">SUMPRODUCT(SUBTOTAL(9,OFFSET(W$6,ROW(W$6:W$60)-ROW(W$6),)),--($G$6:$G$60=$G62))</f>
        <v>18</v>
      </c>
      <c r="X62" s="124" cm="1">
        <f t="array" aca="1" ref="X62" ca="1">SUMPRODUCT(SUBTOTAL(9,OFFSET(X$6,ROW(X$6:X$60)-ROW(X$6),)),--($G$6:$G$60=$G62))</f>
        <v>13</v>
      </c>
      <c r="Y62" s="124" cm="1">
        <f t="array" aca="1" ref="Y62" ca="1">SUMPRODUCT(SUBTOTAL(9,OFFSET(Y$6,ROW(Y$6:Y$60)-ROW(Y$6),)),--($G$6:$G$60=$G62))</f>
        <v>0</v>
      </c>
      <c r="Z62" s="124" cm="1">
        <f t="array" aca="1" ref="Z62" ca="1">SUMPRODUCT(SUBTOTAL(9,OFFSET(Z$6,ROW(Z$6:Z$60)-ROW(Z$6),)),--($G$6:$G$60=$G62))</f>
        <v>0</v>
      </c>
      <c r="AA62" s="124" cm="1">
        <f t="array" aca="1" ref="AA62" ca="1">SUMPRODUCT(SUBTOTAL(9,OFFSET(AA$6,ROW(AA$6:AA$60)-ROW(AA$6),)),--($G$6:$G$60=$G62))</f>
        <v>0</v>
      </c>
      <c r="AB62" s="124" cm="1">
        <f t="array" aca="1" ref="AB62" ca="1">SUMPRODUCT(SUBTOTAL(9,OFFSET(AB$6,ROW(AB$6:AB$60)-ROW(AB$6),)),--($G$6:$G$60=$G62))</f>
        <v>0</v>
      </c>
      <c r="AC62" s="124" cm="1">
        <f t="array" aca="1" ref="AC62" ca="1">SUMPRODUCT(SUBTOTAL(9,OFFSET(AC$6,ROW(AC$6:AC$60)-ROW(AC$6),)),--($G$6:$G$60=$G62))</f>
        <v>0</v>
      </c>
      <c r="AD62" s="124" cm="1">
        <f t="array" aca="1" ref="AD62" ca="1">SUMPRODUCT(SUBTOTAL(9,OFFSET(AD$6,ROW(AD$6:AD$60)-ROW(AD$6),)),--($G$6:$G$60=$G62))</f>
        <v>0</v>
      </c>
      <c r="AE62" s="124" cm="1">
        <f t="array" aca="1" ref="AE62" ca="1">SUMPRODUCT(SUBTOTAL(9,OFFSET(AE$6,ROW(AE$6:AE$60)-ROW(AE$6),)),--($G$6:$G$60=$G62))</f>
        <v>0</v>
      </c>
      <c r="AF62" s="124" cm="1">
        <f t="array" aca="1" ref="AF62" ca="1">SUMPRODUCT(SUBTOTAL(9,OFFSET(AF$6,ROW(AF$6:AF$60)-ROW(AF$6),)),--($G$6:$G$60=$G62))</f>
        <v>0</v>
      </c>
      <c r="AG62" s="124" cm="1">
        <f t="array" aca="1" ref="AG62" ca="1">SUMPRODUCT(SUBTOTAL(9,OFFSET(AG$6,ROW(AG$6:AG$60)-ROW(AG$6),)),--($G$6:$G$60=$G62))</f>
        <v>0</v>
      </c>
      <c r="AH62" s="124" cm="1">
        <f t="array" aca="1" ref="AH62" ca="1">SUMPRODUCT(SUBTOTAL(9,OFFSET(AH$6,ROW(AH$6:AH$60)-ROW(AH$6),)),--($G$6:$G$60=$G62))</f>
        <v>0</v>
      </c>
      <c r="AI62" s="124" cm="1">
        <f t="array" aca="1" ref="AI62" ca="1">SUMPRODUCT(SUBTOTAL(9,OFFSET(AI$6,ROW(AI$6:AI$60)-ROW(AI$6),)),--($G$6:$G$60=$G62))</f>
        <v>0</v>
      </c>
      <c r="AJ62" s="125" cm="1">
        <f t="array" aca="1" ref="AJ62" ca="1">SUMPRODUCT(SUBTOTAL(9,OFFSET(AJ$6,ROW(AJ$6:AJ$60)-ROW(AJ$6),)),--($G$6:$G$60=$G62))</f>
        <v>170.5</v>
      </c>
      <c r="AK62" s="125">
        <f t="shared" ca="1" si="30"/>
        <v>24</v>
      </c>
      <c r="AL62" s="134">
        <f ca="1">IFERROR(AM62/AJ62,0)</f>
        <v>27711.801537759122</v>
      </c>
      <c r="AM62" s="133" cm="1">
        <f t="array" aca="1" ref="AM62" ca="1">SUMPRODUCT(SUBTOTAL(9,OFFSET(AM$6,ROW(AM$6:AM$60)-ROW(AM$6),)),--($G$6:$G$60=$G62))</f>
        <v>4724862.1621879302</v>
      </c>
      <c r="AN62" s="113"/>
      <c r="AO62" s="114"/>
      <c r="AP62" s="61"/>
      <c r="AQ62" s="61"/>
      <c r="AR62" s="62"/>
    </row>
    <row r="63" spans="1:44" ht="15" customHeight="1" x14ac:dyDescent="0.25">
      <c r="A63" s="231"/>
      <c r="B63" s="232"/>
      <c r="C63" s="237" t="s">
        <v>113</v>
      </c>
      <c r="D63" s="237"/>
      <c r="E63" s="238"/>
      <c r="F63" s="230"/>
      <c r="G63" s="60" t="s">
        <v>114</v>
      </c>
      <c r="H63" s="125">
        <f t="shared" ref="H63:AJ63" ca="1" si="31">SUM(H61:H62)</f>
        <v>0</v>
      </c>
      <c r="I63" s="125">
        <f t="shared" ca="1" si="31"/>
        <v>0</v>
      </c>
      <c r="J63" s="125">
        <f t="shared" ca="1" si="31"/>
        <v>0.5</v>
      </c>
      <c r="K63" s="125">
        <f t="shared" ca="1" si="31"/>
        <v>1.5</v>
      </c>
      <c r="L63" s="125">
        <f t="shared" ca="1" si="31"/>
        <v>2.5</v>
      </c>
      <c r="M63" s="125">
        <f t="shared" ca="1" si="31"/>
        <v>2.5</v>
      </c>
      <c r="N63" s="125">
        <f t="shared" ca="1" si="31"/>
        <v>2.5</v>
      </c>
      <c r="O63" s="125">
        <f t="shared" ca="1" si="31"/>
        <v>2.5</v>
      </c>
      <c r="P63" s="125">
        <f t="shared" ca="1" si="31"/>
        <v>2.5</v>
      </c>
      <c r="Q63" s="125">
        <f t="shared" ca="1" si="31"/>
        <v>15</v>
      </c>
      <c r="R63" s="125">
        <f t="shared" ca="1" si="31"/>
        <v>17</v>
      </c>
      <c r="S63" s="125">
        <f t="shared" ca="1" si="31"/>
        <v>23</v>
      </c>
      <c r="T63" s="125">
        <f t="shared" ca="1" si="31"/>
        <v>24</v>
      </c>
      <c r="U63" s="125">
        <f t="shared" ca="1" si="31"/>
        <v>24</v>
      </c>
      <c r="V63" s="125">
        <f t="shared" ca="1" si="31"/>
        <v>22</v>
      </c>
      <c r="W63" s="125">
        <f t="shared" ca="1" si="31"/>
        <v>18</v>
      </c>
      <c r="X63" s="125">
        <f t="shared" ca="1" si="31"/>
        <v>13</v>
      </c>
      <c r="Y63" s="125">
        <f t="shared" ca="1" si="31"/>
        <v>0</v>
      </c>
      <c r="Z63" s="125">
        <f t="shared" ca="1" si="31"/>
        <v>0</v>
      </c>
      <c r="AA63" s="125">
        <f t="shared" ca="1" si="31"/>
        <v>0</v>
      </c>
      <c r="AB63" s="125">
        <f t="shared" ca="1" si="31"/>
        <v>0</v>
      </c>
      <c r="AC63" s="125">
        <f t="shared" ca="1" si="31"/>
        <v>0</v>
      </c>
      <c r="AD63" s="125">
        <f t="shared" ca="1" si="31"/>
        <v>0</v>
      </c>
      <c r="AE63" s="125">
        <f t="shared" ca="1" si="31"/>
        <v>0</v>
      </c>
      <c r="AF63" s="125">
        <f t="shared" ca="1" si="31"/>
        <v>0</v>
      </c>
      <c r="AG63" s="125">
        <f t="shared" ca="1" si="31"/>
        <v>0</v>
      </c>
      <c r="AH63" s="125">
        <f t="shared" ca="1" si="31"/>
        <v>0</v>
      </c>
      <c r="AI63" s="125">
        <f t="shared" ca="1" si="31"/>
        <v>0</v>
      </c>
      <c r="AJ63" s="125">
        <f t="shared" ca="1" si="31"/>
        <v>170.5</v>
      </c>
      <c r="AK63" s="125">
        <f t="shared" ca="1" si="30"/>
        <v>24</v>
      </c>
      <c r="AL63" s="134">
        <f ca="1">IFERROR(AM63/AJ63,0)</f>
        <v>27711.801537759122</v>
      </c>
      <c r="AM63" s="133">
        <f ca="1">SUM(AM61:AM62)</f>
        <v>4724862.1621879302</v>
      </c>
      <c r="AN63" s="113"/>
      <c r="AO63" s="114"/>
      <c r="AP63" s="61"/>
      <c r="AQ63" s="61"/>
      <c r="AR63" s="62"/>
    </row>
    <row r="64" spans="1:44" x14ac:dyDescent="0.25">
      <c r="A64" s="161"/>
      <c r="B64" s="162"/>
      <c r="C64" s="237"/>
      <c r="D64" s="237"/>
      <c r="E64" s="238"/>
      <c r="F64" s="239" t="s">
        <v>115</v>
      </c>
      <c r="G64" s="63" t="s">
        <v>88</v>
      </c>
      <c r="H64" s="126" cm="1">
        <f t="array" aca="1" ref="H64" ca="1">SUMPRODUCT(SUBTOTAL(9,OFFSET(H$6,ROW(H$6:H$60)-ROW(H$6),)),--($G$6:$G$60=$G61),$AL$6:$AL$60)</f>
        <v>0</v>
      </c>
      <c r="I64" s="126" cm="1">
        <f t="array" aca="1" ref="I64" ca="1">SUMPRODUCT(SUBTOTAL(9,OFFSET(I$6,ROW(I$6:I$60)-ROW(I$6),)),--($G$6:$G$60=$G61),$AL$6:$AL$60)</f>
        <v>0</v>
      </c>
      <c r="J64" s="126" cm="1">
        <f t="array" aca="1" ref="J64" ca="1">SUMPRODUCT(SUBTOTAL(9,OFFSET(J$6,ROW(J$6:J$60)-ROW(J$6),)),--($G$6:$G$60=$G61),$AL$6:$AL$60)</f>
        <v>0</v>
      </c>
      <c r="K64" s="126" cm="1">
        <f t="array" aca="1" ref="K64" ca="1">SUMPRODUCT(SUBTOTAL(9,OFFSET(K$6,ROW(K$6:K$60)-ROW(K$6),)),--($G$6:$G$60=$G61),$AL$6:$AL$60)</f>
        <v>0</v>
      </c>
      <c r="L64" s="126" cm="1">
        <f t="array" aca="1" ref="L64" ca="1">SUMPRODUCT(SUBTOTAL(9,OFFSET(L$6,ROW(L$6:L$60)-ROW(L$6),)),--($G$6:$G$60=$G61),$AL$6:$AL$60)</f>
        <v>0</v>
      </c>
      <c r="M64" s="126" cm="1">
        <f t="array" aca="1" ref="M64" ca="1">SUMPRODUCT(SUBTOTAL(9,OFFSET(M$6,ROW(M$6:M$60)-ROW(M$6),)),--($G$6:$G$60=$G61),$AL$6:$AL$60)</f>
        <v>0</v>
      </c>
      <c r="N64" s="126" cm="1">
        <f t="array" aca="1" ref="N64" ca="1">SUMPRODUCT(SUBTOTAL(9,OFFSET(N$6,ROW(N$6:N$60)-ROW(N$6),)),--($G$6:$G$60=$G61),$AL$6:$AL$60)</f>
        <v>0</v>
      </c>
      <c r="O64" s="126" cm="1">
        <f t="array" aca="1" ref="O64" ca="1">SUMPRODUCT(SUBTOTAL(9,OFFSET(O$6,ROW(O$6:O$60)-ROW(O$6),)),--($G$6:$G$60=$G61),$AL$6:$AL$60)</f>
        <v>0</v>
      </c>
      <c r="P64" s="126" cm="1">
        <f t="array" aca="1" ref="P64" ca="1">SUMPRODUCT(SUBTOTAL(9,OFFSET(P$6,ROW(P$6:P$60)-ROW(P$6),)),--($G$6:$G$60=$G61),$AL$6:$AL$60)</f>
        <v>0</v>
      </c>
      <c r="Q64" s="126" cm="1">
        <f t="array" aca="1" ref="Q64" ca="1">SUMPRODUCT(SUBTOTAL(9,OFFSET(Q$6,ROW(Q$6:Q$60)-ROW(Q$6),)),--($G$6:$G$60=$G61),$AL$6:$AL$60)</f>
        <v>0</v>
      </c>
      <c r="R64" s="126" cm="1">
        <f t="array" aca="1" ref="R64" ca="1">SUMPRODUCT(SUBTOTAL(9,OFFSET(R$6,ROW(R$6:R$60)-ROW(R$6),)),--($G$6:$G$60=$G61),$AL$6:$AL$60)</f>
        <v>0</v>
      </c>
      <c r="S64" s="126" cm="1">
        <f t="array" aca="1" ref="S64" ca="1">SUMPRODUCT(SUBTOTAL(9,OFFSET(S$6,ROW(S$6:S$60)-ROW(S$6),)),--($G$6:$G$60=$G61),$AL$6:$AL$60)</f>
        <v>0</v>
      </c>
      <c r="T64" s="126" cm="1">
        <f t="array" aca="1" ref="T64" ca="1">SUMPRODUCT(SUBTOTAL(9,OFFSET(T$6,ROW(T$6:T$60)-ROW(T$6),)),--($G$6:$G$60=$G61),$AL$6:$AL$60)</f>
        <v>0</v>
      </c>
      <c r="U64" s="126" cm="1">
        <f t="array" aca="1" ref="U64" ca="1">SUMPRODUCT(SUBTOTAL(9,OFFSET(U$6,ROW(U$6:U$60)-ROW(U$6),)),--($G$6:$G$60=$G61),$AL$6:$AL$60)</f>
        <v>0</v>
      </c>
      <c r="V64" s="126" cm="1">
        <f t="array" aca="1" ref="V64" ca="1">SUMPRODUCT(SUBTOTAL(9,OFFSET(V$6,ROW(V$6:V$60)-ROW(V$6),)),--($G$6:$G$60=$G61),$AL$6:$AL$60)</f>
        <v>0</v>
      </c>
      <c r="W64" s="126" cm="1">
        <f t="array" aca="1" ref="W64" ca="1">SUMPRODUCT(SUBTOTAL(9,OFFSET(W$6,ROW(W$6:W$60)-ROW(W$6),)),--($G$6:$G$60=$G61),$AL$6:$AL$60)</f>
        <v>0</v>
      </c>
      <c r="X64" s="126" cm="1">
        <f t="array" aca="1" ref="X64" ca="1">SUMPRODUCT(SUBTOTAL(9,OFFSET(X$6,ROW(X$6:X$60)-ROW(X$6),)),--($G$6:$G$60=$G61),$AL$6:$AL$60)</f>
        <v>0</v>
      </c>
      <c r="Y64" s="126" cm="1">
        <f t="array" aca="1" ref="Y64" ca="1">SUMPRODUCT(SUBTOTAL(9,OFFSET(Y$6,ROW(Y$6:Y$60)-ROW(Y$6),)),--($G$6:$G$60=$G61),$AL$6:$AL$60)</f>
        <v>0</v>
      </c>
      <c r="Z64" s="126" cm="1">
        <f t="array" aca="1" ref="Z64" ca="1">SUMPRODUCT(SUBTOTAL(9,OFFSET(Z$6,ROW(Z$6:Z$60)-ROW(Z$6),)),--($G$6:$G$60=$G61),$AL$6:$AL$60)</f>
        <v>0</v>
      </c>
      <c r="AA64" s="126" cm="1">
        <f t="array" aca="1" ref="AA64" ca="1">SUMPRODUCT(SUBTOTAL(9,OFFSET(AA$6,ROW(AA$6:AA$60)-ROW(AA$6),)),--($G$6:$G$60=$G61),$AL$6:$AL$60)</f>
        <v>0</v>
      </c>
      <c r="AB64" s="126" cm="1">
        <f t="array" aca="1" ref="AB64" ca="1">SUMPRODUCT(SUBTOTAL(9,OFFSET(AB$6,ROW(AB$6:AB$60)-ROW(AB$6),)),--($G$6:$G$60=$G61),$AL$6:$AL$60)</f>
        <v>0</v>
      </c>
      <c r="AC64" s="126" cm="1">
        <f t="array" aca="1" ref="AC64" ca="1">SUMPRODUCT(SUBTOTAL(9,OFFSET(AC$6,ROW(AC$6:AC$60)-ROW(AC$6),)),--($G$6:$G$60=$G61),$AL$6:$AL$60)</f>
        <v>0</v>
      </c>
      <c r="AD64" s="126" cm="1">
        <f t="array" aca="1" ref="AD64" ca="1">SUMPRODUCT(SUBTOTAL(9,OFFSET(AD$6,ROW(AD$6:AD$60)-ROW(AD$6),)),--($G$6:$G$60=$G61),$AL$6:$AL$60)</f>
        <v>0</v>
      </c>
      <c r="AE64" s="126" cm="1">
        <f t="array" aca="1" ref="AE64" ca="1">SUMPRODUCT(SUBTOTAL(9,OFFSET(AE$6,ROW(AE$6:AE$60)-ROW(AE$6),)),--($G$6:$G$60=$G61),$AL$6:$AL$60)</f>
        <v>0</v>
      </c>
      <c r="AF64" s="126" cm="1">
        <f t="array" aca="1" ref="AF64" ca="1">SUMPRODUCT(SUBTOTAL(9,OFFSET(AF$6,ROW(AF$6:AF$60)-ROW(AF$6),)),--($G$6:$G$60=$G61),$AL$6:$AL$60)</f>
        <v>0</v>
      </c>
      <c r="AG64" s="126" cm="1">
        <f t="array" aca="1" ref="AG64" ca="1">SUMPRODUCT(SUBTOTAL(9,OFFSET(AG$6,ROW(AG$6:AG$60)-ROW(AG$6),)),--($G$6:$G$60=$G61),$AL$6:$AL$60)</f>
        <v>0</v>
      </c>
      <c r="AH64" s="126" cm="1">
        <f t="array" aca="1" ref="AH64" ca="1">SUMPRODUCT(SUBTOTAL(9,OFFSET(AH$6,ROW(AH$6:AH$60)-ROW(AH$6),)),--($G$6:$G$60=$G61),$AL$6:$AL$60)</f>
        <v>0</v>
      </c>
      <c r="AI64" s="126" cm="1">
        <f t="array" aca="1" ref="AI64" ca="1">SUMPRODUCT(SUBTOTAL(9,OFFSET(AI$6,ROW(AI$6:AI$60)-ROW(AI$6),)),--($G$6:$G$60=$G61),$AL$6:$AL$60)</f>
        <v>0</v>
      </c>
      <c r="AJ64" s="149"/>
      <c r="AK64" s="149"/>
      <c r="AL64" s="135"/>
      <c r="AM64" s="136">
        <f ca="1">SUM(H64:AI64)</f>
        <v>0</v>
      </c>
      <c r="AN64" s="113"/>
      <c r="AO64" s="114"/>
    </row>
    <row r="65" spans="1:41" x14ac:dyDescent="0.25">
      <c r="A65" s="231" t="s">
        <v>65</v>
      </c>
      <c r="B65" s="232"/>
      <c r="C65" s="233" t="s">
        <v>116</v>
      </c>
      <c r="D65" s="233"/>
      <c r="E65" s="234"/>
      <c r="F65" s="240"/>
      <c r="G65" s="63" t="s">
        <v>65</v>
      </c>
      <c r="H65" s="126" cm="1">
        <f t="array" aca="1" ref="H65" ca="1">SUMPRODUCT(SUBTOTAL(9,OFFSET(H$6,ROW(H$6:H$60)-ROW(H$6),)),--($G$6:$G$60=$G62),$AL$6:$AL$60)</f>
        <v>0</v>
      </c>
      <c r="I65" s="126" cm="1">
        <f t="array" aca="1" ref="I65" ca="1">SUMPRODUCT(SUBTOTAL(9,OFFSET(I$6,ROW(I$6:I$60)-ROW(I$6),)),--($G$6:$G$60=$G62),$AL$6:$AL$60)</f>
        <v>0</v>
      </c>
      <c r="J65" s="126" cm="1">
        <f t="array" aca="1" ref="J65" ca="1">SUMPRODUCT(SUBTOTAL(9,OFFSET(J$6,ROW(J$6:J$60)-ROW(J$6),)),--($G$6:$G$60=$G62),$AL$6:$AL$60)</f>
        <v>13637.604411057742</v>
      </c>
      <c r="K65" s="126" cm="1">
        <f t="array" aca="1" ref="K65" ca="1">SUMPRODUCT(SUBTOTAL(9,OFFSET(K$6,ROW(K$6:K$60)-ROW(K$6),)),--($G$6:$G$60=$G62),$AL$6:$AL$60)</f>
        <v>43775.853926144024</v>
      </c>
      <c r="L65" s="126" cm="1">
        <f t="array" aca="1" ref="L65" ca="1">SUMPRODUCT(SUBTOTAL(9,OFFSET(L$6,ROW(L$6:L$60)-ROW(L$6),)),--($G$6:$G$60=$G62),$AL$6:$AL$60)</f>
        <v>73914.103441230312</v>
      </c>
      <c r="M65" s="126" cm="1">
        <f t="array" aca="1" ref="M65" ca="1">SUMPRODUCT(SUBTOTAL(9,OFFSET(M$6,ROW(M$6:M$60)-ROW(M$6),)),--($G$6:$G$60=$G62),$AL$6:$AL$60)</f>
        <v>73914.103441230312</v>
      </c>
      <c r="N65" s="126" cm="1">
        <f t="array" aca="1" ref="N65" ca="1">SUMPRODUCT(SUBTOTAL(9,OFFSET(N$6,ROW(N$6:N$60)-ROW(N$6),)),--($G$6:$G$60=$G62),$AL$6:$AL$60)</f>
        <v>73914.103441230312</v>
      </c>
      <c r="O65" s="126" cm="1">
        <f t="array" aca="1" ref="O65" ca="1">SUMPRODUCT(SUBTOTAL(9,OFFSET(O$6,ROW(O$6:O$60)-ROW(O$6),)),--($G$6:$G$60=$G62),$AL$6:$AL$60)</f>
        <v>73914.103441230312</v>
      </c>
      <c r="P65" s="126" cm="1">
        <f t="array" aca="1" ref="P65" ca="1">SUMPRODUCT(SUBTOTAL(9,OFFSET(P$6,ROW(P$6:P$60)-ROW(P$6),)),--($G$6:$G$60=$G62),$AL$6:$AL$60)</f>
        <v>73914.103441230312</v>
      </c>
      <c r="Q65" s="126" cm="1">
        <f t="array" aca="1" ref="Q65" ca="1">SUMPRODUCT(SUBTOTAL(9,OFFSET(Q$6,ROW(Q$6:Q$60)-ROW(Q$6),)),--($G$6:$G$60=$G62),$AL$6:$AL$60)</f>
        <v>414854.21371767385</v>
      </c>
      <c r="R65" s="126" cm="1">
        <f t="array" aca="1" ref="R65" ca="1">SUMPRODUCT(SUBTOTAL(9,OFFSET(R$6,ROW(R$6:R$60)-ROW(R$6),)),--($G$6:$G$60=$G62),$AL$6:$AL$60)</f>
        <v>469404.63136190496</v>
      </c>
      <c r="S65" s="126" cm="1">
        <f t="array" aca="1" ref="S65" ca="1">SUMPRODUCT(SUBTOTAL(9,OFFSET(S$6,ROW(S$6:S$60)-ROW(S$6),)),--($G$6:$G$60=$G62),$AL$6:$AL$60)</f>
        <v>633055.88429459778</v>
      </c>
      <c r="T65" s="126" cm="1">
        <f t="array" aca="1" ref="T65" ca="1">SUMPRODUCT(SUBTOTAL(9,OFFSET(T$6,ROW(T$6:T$60)-ROW(T$6),)),--($G$6:$G$60=$G62),$AL$6:$AL$60)</f>
        <v>660331.09311671322</v>
      </c>
      <c r="U65" s="126" cm="1">
        <f t="array" aca="1" ref="U65" ca="1">SUMPRODUCT(SUBTOTAL(9,OFFSET(U$6,ROW(U$6:U$60)-ROW(U$6),)),--($G$6:$G$60=$G62),$AL$6:$AL$60)</f>
        <v>660331.09311671322</v>
      </c>
      <c r="V65" s="126" cm="1">
        <f t="array" aca="1" ref="V65" ca="1">SUMPRODUCT(SUBTOTAL(9,OFFSET(V$6,ROW(V$6:V$60)-ROW(V$6),)),--($G$6:$G$60=$G62),$AL$6:$AL$60)</f>
        <v>605780.67547248234</v>
      </c>
      <c r="W65" s="126" cm="1">
        <f t="array" aca="1" ref="W65" ca="1">SUMPRODUCT(SUBTOTAL(9,OFFSET(W$6,ROW(W$6:W$60)-ROW(W$6),)),--($G$6:$G$60=$G62),$AL$6:$AL$60)</f>
        <v>496679.84018402034</v>
      </c>
      <c r="X65" s="126" cm="1">
        <f t="array" aca="1" ref="X65" ca="1">SUMPRODUCT(SUBTOTAL(9,OFFSET(X$6,ROW(X$6:X$60)-ROW(X$6),)),--($G$6:$G$60=$G62),$AL$6:$AL$60)</f>
        <v>357440.75538047205</v>
      </c>
      <c r="Y65" s="126" cm="1">
        <f t="array" aca="1" ref="Y65" ca="1">SUMPRODUCT(SUBTOTAL(9,OFFSET(Y$6,ROW(Y$6:Y$60)-ROW(Y$6),)),--($G$6:$G$60=$G62),$AL$6:$AL$60)</f>
        <v>0</v>
      </c>
      <c r="Z65" s="126" cm="1">
        <f t="array" aca="1" ref="Z65" ca="1">SUMPRODUCT(SUBTOTAL(9,OFFSET(Z$6,ROW(Z$6:Z$60)-ROW(Z$6),)),--($G$6:$G$60=$G62),$AL$6:$AL$60)</f>
        <v>0</v>
      </c>
      <c r="AA65" s="126" cm="1">
        <f t="array" aca="1" ref="AA65" ca="1">SUMPRODUCT(SUBTOTAL(9,OFFSET(AA$6,ROW(AA$6:AA$60)-ROW(AA$6),)),--($G$6:$G$60=$G62),$AL$6:$AL$60)</f>
        <v>0</v>
      </c>
      <c r="AB65" s="126" cm="1">
        <f t="array" aca="1" ref="AB65" ca="1">SUMPRODUCT(SUBTOTAL(9,OFFSET(AB$6,ROW(AB$6:AB$60)-ROW(AB$6),)),--($G$6:$G$60=$G62),$AL$6:$AL$60)</f>
        <v>0</v>
      </c>
      <c r="AC65" s="126" cm="1">
        <f t="array" aca="1" ref="AC65" ca="1">SUMPRODUCT(SUBTOTAL(9,OFFSET(AC$6,ROW(AC$6:AC$60)-ROW(AC$6),)),--($G$6:$G$60=$G62),$AL$6:$AL$60)</f>
        <v>0</v>
      </c>
      <c r="AD65" s="126" cm="1">
        <f t="array" aca="1" ref="AD65" ca="1">SUMPRODUCT(SUBTOTAL(9,OFFSET(AD$6,ROW(AD$6:AD$60)-ROW(AD$6),)),--($G$6:$G$60=$G62),$AL$6:$AL$60)</f>
        <v>0</v>
      </c>
      <c r="AE65" s="126" cm="1">
        <f t="array" aca="1" ref="AE65" ca="1">SUMPRODUCT(SUBTOTAL(9,OFFSET(AE$6,ROW(AE$6:AE$60)-ROW(AE$6),)),--($G$6:$G$60=$G62),$AL$6:$AL$60)</f>
        <v>0</v>
      </c>
      <c r="AF65" s="126" cm="1">
        <f t="array" aca="1" ref="AF65" ca="1">SUMPRODUCT(SUBTOTAL(9,OFFSET(AF$6,ROW(AF$6:AF$60)-ROW(AF$6),)),--($G$6:$G$60=$G62),$AL$6:$AL$60)</f>
        <v>0</v>
      </c>
      <c r="AG65" s="126" cm="1">
        <f t="array" aca="1" ref="AG65" ca="1">SUMPRODUCT(SUBTOTAL(9,OFFSET(AG$6,ROW(AG$6:AG$60)-ROW(AG$6),)),--($G$6:$G$60=$G62),$AL$6:$AL$60)</f>
        <v>0</v>
      </c>
      <c r="AH65" s="126" cm="1">
        <f t="array" aca="1" ref="AH65" ca="1">SUMPRODUCT(SUBTOTAL(9,OFFSET(AH$6,ROW(AH$6:AH$60)-ROW(AH$6),)),--($G$6:$G$60=$G62),$AL$6:$AL$60)</f>
        <v>0</v>
      </c>
      <c r="AI65" s="126" cm="1">
        <f t="array" aca="1" ref="AI65" ca="1">SUMPRODUCT(SUBTOTAL(9,OFFSET(AI$6,ROW(AI$6:AI$60)-ROW(AI$6),)),--($G$6:$G$60=$G62),$AL$6:$AL$60)</f>
        <v>0</v>
      </c>
      <c r="AJ65" s="149"/>
      <c r="AK65" s="149"/>
      <c r="AL65" s="135"/>
      <c r="AM65" s="136">
        <f ca="1">SUM(H65:AI65)</f>
        <v>4724862.1621879321</v>
      </c>
      <c r="AN65" s="113"/>
      <c r="AO65" s="114"/>
    </row>
    <row r="66" spans="1:41" x14ac:dyDescent="0.25">
      <c r="A66" s="160"/>
      <c r="B66" s="159"/>
      <c r="C66" s="237" t="s">
        <v>117</v>
      </c>
      <c r="D66" s="237"/>
      <c r="E66" s="238"/>
      <c r="F66" s="241"/>
      <c r="G66" s="63" t="s">
        <v>114</v>
      </c>
      <c r="H66" s="126">
        <f t="shared" ref="H66:AI66" ca="1" si="32">SUM(H64:H65)</f>
        <v>0</v>
      </c>
      <c r="I66" s="126">
        <f t="shared" ca="1" si="32"/>
        <v>0</v>
      </c>
      <c r="J66" s="126">
        <f t="shared" ca="1" si="32"/>
        <v>13637.604411057742</v>
      </c>
      <c r="K66" s="126">
        <f t="shared" ca="1" si="32"/>
        <v>43775.853926144024</v>
      </c>
      <c r="L66" s="126">
        <f t="shared" ca="1" si="32"/>
        <v>73914.103441230312</v>
      </c>
      <c r="M66" s="126">
        <f t="shared" ca="1" si="32"/>
        <v>73914.103441230312</v>
      </c>
      <c r="N66" s="126">
        <f t="shared" ca="1" si="32"/>
        <v>73914.103441230312</v>
      </c>
      <c r="O66" s="126">
        <f t="shared" ca="1" si="32"/>
        <v>73914.103441230312</v>
      </c>
      <c r="P66" s="126">
        <f t="shared" ca="1" si="32"/>
        <v>73914.103441230312</v>
      </c>
      <c r="Q66" s="126">
        <f t="shared" ca="1" si="32"/>
        <v>414854.21371767385</v>
      </c>
      <c r="R66" s="126">
        <f t="shared" ca="1" si="32"/>
        <v>469404.63136190496</v>
      </c>
      <c r="S66" s="126">
        <f t="shared" ca="1" si="32"/>
        <v>633055.88429459778</v>
      </c>
      <c r="T66" s="126">
        <f t="shared" ca="1" si="32"/>
        <v>660331.09311671322</v>
      </c>
      <c r="U66" s="126">
        <f t="shared" ca="1" si="32"/>
        <v>660331.09311671322</v>
      </c>
      <c r="V66" s="126">
        <f t="shared" ca="1" si="32"/>
        <v>605780.67547248234</v>
      </c>
      <c r="W66" s="126">
        <f t="shared" ca="1" si="32"/>
        <v>496679.84018402034</v>
      </c>
      <c r="X66" s="126">
        <f t="shared" ca="1" si="32"/>
        <v>357440.75538047205</v>
      </c>
      <c r="Y66" s="126">
        <f t="shared" ca="1" si="32"/>
        <v>0</v>
      </c>
      <c r="Z66" s="126">
        <f t="shared" ca="1" si="32"/>
        <v>0</v>
      </c>
      <c r="AA66" s="126">
        <f t="shared" ca="1" si="32"/>
        <v>0</v>
      </c>
      <c r="AB66" s="126">
        <f t="shared" ca="1" si="32"/>
        <v>0</v>
      </c>
      <c r="AC66" s="126">
        <f t="shared" ca="1" si="32"/>
        <v>0</v>
      </c>
      <c r="AD66" s="126">
        <f t="shared" ca="1" si="32"/>
        <v>0</v>
      </c>
      <c r="AE66" s="126">
        <f t="shared" ca="1" si="32"/>
        <v>0</v>
      </c>
      <c r="AF66" s="126">
        <f t="shared" ca="1" si="32"/>
        <v>0</v>
      </c>
      <c r="AG66" s="126">
        <f t="shared" ca="1" si="32"/>
        <v>0</v>
      </c>
      <c r="AH66" s="126">
        <f t="shared" ca="1" si="32"/>
        <v>0</v>
      </c>
      <c r="AI66" s="126">
        <f t="shared" ca="1" si="32"/>
        <v>0</v>
      </c>
      <c r="AJ66" s="149"/>
      <c r="AK66" s="149"/>
      <c r="AL66" s="135"/>
      <c r="AM66" s="136">
        <f ca="1">SUM(H66:AI66)</f>
        <v>4724862.1621879321</v>
      </c>
      <c r="AN66" s="113"/>
      <c r="AO66" s="114"/>
    </row>
    <row r="67" spans="1:41" ht="15" hidden="1" customHeight="1" outlineLevel="1" x14ac:dyDescent="0.25">
      <c r="A67" s="113"/>
      <c r="B67" s="115"/>
      <c r="C67" s="115"/>
      <c r="D67" s="115"/>
      <c r="E67" s="114"/>
      <c r="F67" s="235" t="s">
        <v>118</v>
      </c>
      <c r="G67" s="86" t="s">
        <v>119</v>
      </c>
      <c r="H67" s="145">
        <f ca="1">H62</f>
        <v>0</v>
      </c>
      <c r="I67" s="145">
        <f ca="1">I62-H62</f>
        <v>0</v>
      </c>
      <c r="J67" s="145">
        <f t="shared" ref="J67:AI67" ca="1" si="33">J62-I62</f>
        <v>0.5</v>
      </c>
      <c r="K67" s="145">
        <f t="shared" ca="1" si="33"/>
        <v>1</v>
      </c>
      <c r="L67" s="145">
        <f t="shared" ca="1" si="33"/>
        <v>1</v>
      </c>
      <c r="M67" s="145">
        <f t="shared" ca="1" si="33"/>
        <v>0</v>
      </c>
      <c r="N67" s="145">
        <f t="shared" ca="1" si="33"/>
        <v>0</v>
      </c>
      <c r="O67" s="145">
        <f t="shared" ca="1" si="33"/>
        <v>0</v>
      </c>
      <c r="P67" s="145">
        <f t="shared" ca="1" si="33"/>
        <v>0</v>
      </c>
      <c r="Q67" s="145">
        <f t="shared" ca="1" si="33"/>
        <v>12.5</v>
      </c>
      <c r="R67" s="145">
        <f t="shared" ca="1" si="33"/>
        <v>2</v>
      </c>
      <c r="S67" s="145">
        <f t="shared" ca="1" si="33"/>
        <v>6</v>
      </c>
      <c r="T67" s="145">
        <f t="shared" ca="1" si="33"/>
        <v>1</v>
      </c>
      <c r="U67" s="145">
        <f t="shared" ca="1" si="33"/>
        <v>0</v>
      </c>
      <c r="V67" s="145">
        <f t="shared" ca="1" si="33"/>
        <v>-2</v>
      </c>
      <c r="W67" s="145">
        <f t="shared" ca="1" si="33"/>
        <v>-4</v>
      </c>
      <c r="X67" s="145">
        <f t="shared" ca="1" si="33"/>
        <v>-5</v>
      </c>
      <c r="Y67" s="145">
        <f t="shared" ca="1" si="33"/>
        <v>-13</v>
      </c>
      <c r="Z67" s="145">
        <f t="shared" ca="1" si="33"/>
        <v>0</v>
      </c>
      <c r="AA67" s="145">
        <f t="shared" ca="1" si="33"/>
        <v>0</v>
      </c>
      <c r="AB67" s="145">
        <f t="shared" ca="1" si="33"/>
        <v>0</v>
      </c>
      <c r="AC67" s="145">
        <f t="shared" ca="1" si="33"/>
        <v>0</v>
      </c>
      <c r="AD67" s="145">
        <f t="shared" ca="1" si="33"/>
        <v>0</v>
      </c>
      <c r="AE67" s="145">
        <f t="shared" ca="1" si="33"/>
        <v>0</v>
      </c>
      <c r="AF67" s="145">
        <f t="shared" ca="1" si="33"/>
        <v>0</v>
      </c>
      <c r="AG67" s="145">
        <f t="shared" ca="1" si="33"/>
        <v>0</v>
      </c>
      <c r="AH67" s="145">
        <f t="shared" ca="1" si="33"/>
        <v>0</v>
      </c>
      <c r="AI67" s="145">
        <f t="shared" ca="1" si="33"/>
        <v>0</v>
      </c>
      <c r="AJ67" s="150"/>
      <c r="AK67" s="150"/>
      <c r="AL67" s="137"/>
      <c r="AM67" s="138"/>
      <c r="AN67" s="113"/>
      <c r="AO67" s="114"/>
    </row>
    <row r="68" spans="1:41" ht="15" hidden="1" customHeight="1" outlineLevel="1" collapsed="1" x14ac:dyDescent="0.25">
      <c r="A68" s="113"/>
      <c r="B68" s="115"/>
      <c r="C68" s="115"/>
      <c r="D68" s="115"/>
      <c r="E68" s="114"/>
      <c r="F68" s="236"/>
      <c r="G68" s="86" t="s">
        <v>120</v>
      </c>
      <c r="H68" s="146" t="s">
        <v>121</v>
      </c>
      <c r="I68" s="146" t="s">
        <v>121</v>
      </c>
      <c r="J68" s="146" t="s">
        <v>121</v>
      </c>
      <c r="K68" s="146" t="s">
        <v>121</v>
      </c>
      <c r="L68" s="146" t="s">
        <v>121</v>
      </c>
      <c r="M68" s="146" t="s">
        <v>121</v>
      </c>
      <c r="N68" s="146" t="s">
        <v>121</v>
      </c>
      <c r="O68" s="146" t="s">
        <v>121</v>
      </c>
      <c r="P68" s="146" t="s">
        <v>121</v>
      </c>
      <c r="Q68" s="146" t="s">
        <v>121</v>
      </c>
      <c r="R68" s="146" t="s">
        <v>121</v>
      </c>
      <c r="S68" s="146" t="s">
        <v>121</v>
      </c>
      <c r="T68" s="146" t="s">
        <v>121</v>
      </c>
      <c r="U68" s="146" t="s">
        <v>121</v>
      </c>
      <c r="V68" s="146" t="s">
        <v>121</v>
      </c>
      <c r="W68" s="146" t="s">
        <v>121</v>
      </c>
      <c r="X68" s="146" t="s">
        <v>121</v>
      </c>
      <c r="Y68" s="146" t="s">
        <v>121</v>
      </c>
      <c r="Z68" s="146" t="s">
        <v>121</v>
      </c>
      <c r="AA68" s="146" t="s">
        <v>121</v>
      </c>
      <c r="AB68" s="146" t="s">
        <v>121</v>
      </c>
      <c r="AC68" s="146" t="s">
        <v>121</v>
      </c>
      <c r="AD68" s="146" t="s">
        <v>121</v>
      </c>
      <c r="AE68" s="146" t="s">
        <v>121</v>
      </c>
      <c r="AF68" s="146" t="s">
        <v>121</v>
      </c>
      <c r="AG68" s="146" t="s">
        <v>121</v>
      </c>
      <c r="AH68" s="146" t="s">
        <v>121</v>
      </c>
      <c r="AI68" s="146" t="s">
        <v>121</v>
      </c>
      <c r="AJ68" s="150"/>
      <c r="AK68" s="150"/>
      <c r="AL68" s="137"/>
      <c r="AM68" s="139" t="str">
        <f>IF(COUNTIFS(H68:AI68,"*NC*")=28,"No Change","Adjusted")</f>
        <v>No Change</v>
      </c>
      <c r="AN68" s="113"/>
      <c r="AO68" s="114"/>
    </row>
    <row r="69" spans="1:41" ht="15" hidden="1" customHeight="1" outlineLevel="1" x14ac:dyDescent="0.25">
      <c r="A69" s="113"/>
      <c r="B69" s="115"/>
      <c r="C69" s="115"/>
      <c r="D69" s="115"/>
      <c r="E69" s="114"/>
      <c r="F69" s="236"/>
      <c r="G69" s="86" t="s">
        <v>122</v>
      </c>
      <c r="H69" s="147">
        <f ca="1">_xlfn.XLOOKUP(H$68,Scenarios,'Ramp Scenarios'!$C$3:$C$11)*SUM(H62:H62)-SUM(H62:H62)</f>
        <v>0</v>
      </c>
      <c r="I69" s="147">
        <f ca="1">_xlfn.XLOOKUP(I$68,Scenarios,'Ramp Scenarios'!$C$3:$C$11)*SUM(I62:I62)-SUM(I62:I62)</f>
        <v>0</v>
      </c>
      <c r="J69" s="147">
        <f ca="1">_xlfn.XLOOKUP(J$68,Scenarios,'Ramp Scenarios'!$C$3:$C$11)*SUM(J62:J62)-SUM(J62:J62)</f>
        <v>0</v>
      </c>
      <c r="K69" s="147">
        <f ca="1">_xlfn.XLOOKUP(K$68,Scenarios,'Ramp Scenarios'!$C$3:$C$11)*SUM(K62:K62)-SUM(K62:K62)</f>
        <v>0</v>
      </c>
      <c r="L69" s="147">
        <f ca="1">_xlfn.XLOOKUP(L$68,Scenarios,'Ramp Scenarios'!$C$3:$C$11)*SUM(L62:L62)-SUM(L62:L62)</f>
        <v>0</v>
      </c>
      <c r="M69" s="147">
        <f ca="1">_xlfn.XLOOKUP(M$68,Scenarios,'Ramp Scenarios'!$C$3:$C$11)*SUM(M62:M62)-SUM(M62:M62)</f>
        <v>0</v>
      </c>
      <c r="N69" s="147">
        <f ca="1">_xlfn.XLOOKUP(N$68,Scenarios,'Ramp Scenarios'!$C$3:$C$11)*SUM(N62:N62)-SUM(N62:N62)</f>
        <v>0</v>
      </c>
      <c r="O69" s="147">
        <f ca="1">_xlfn.XLOOKUP(O$68,Scenarios,'Ramp Scenarios'!$C$3:$C$11)*SUM(O62:O62)-SUM(O62:O62)</f>
        <v>0</v>
      </c>
      <c r="P69" s="147">
        <f ca="1">_xlfn.XLOOKUP(P$68,Scenarios,'Ramp Scenarios'!$C$3:$C$11)*SUM(P62:P62)-SUM(P62:P62)</f>
        <v>0</v>
      </c>
      <c r="Q69" s="147">
        <f ca="1">_xlfn.XLOOKUP(Q$68,Scenarios,'Ramp Scenarios'!$C$3:$C$11)*SUM(Q62:Q62)-SUM(Q62:Q62)</f>
        <v>0</v>
      </c>
      <c r="R69" s="147">
        <f ca="1">_xlfn.XLOOKUP(R$68,Scenarios,'Ramp Scenarios'!$C$3:$C$11)*SUM(R62:R62)-SUM(R62:R62)</f>
        <v>0</v>
      </c>
      <c r="S69" s="147">
        <f ca="1">_xlfn.XLOOKUP(S$68,Scenarios,'Ramp Scenarios'!$C$3:$C$11)*SUM(S62:S62)-SUM(S62:S62)</f>
        <v>0</v>
      </c>
      <c r="T69" s="147">
        <f ca="1">_xlfn.XLOOKUP(T$68,Scenarios,'Ramp Scenarios'!$C$3:$C$11)*SUM(T62:T62)-SUM(T62:T62)</f>
        <v>0</v>
      </c>
      <c r="U69" s="147">
        <f ca="1">_xlfn.XLOOKUP(U$68,Scenarios,'Ramp Scenarios'!$C$3:$C$11)*SUM(U62:U62)-SUM(U62:U62)</f>
        <v>0</v>
      </c>
      <c r="V69" s="147">
        <f ca="1">_xlfn.XLOOKUP(V$68,Scenarios,'Ramp Scenarios'!$C$3:$C$11)*SUM(V62:V62)-SUM(V62:V62)</f>
        <v>0</v>
      </c>
      <c r="W69" s="147">
        <f ca="1">_xlfn.XLOOKUP(W$68,Scenarios,'Ramp Scenarios'!$C$3:$C$11)*SUM(W62:W62)-SUM(W62:W62)</f>
        <v>0</v>
      </c>
      <c r="X69" s="147">
        <f ca="1">_xlfn.XLOOKUP(X$68,Scenarios,'Ramp Scenarios'!$C$3:$C$11)*SUM(X62:X62)-SUM(X62:X62)</f>
        <v>0</v>
      </c>
      <c r="Y69" s="147">
        <f ca="1">_xlfn.XLOOKUP(Y$68,Scenarios,'Ramp Scenarios'!$C$3:$C$11)*SUM(Y62:Y62)-SUM(Y62:Y62)</f>
        <v>0</v>
      </c>
      <c r="Z69" s="147">
        <f ca="1">_xlfn.XLOOKUP(Z$68,Scenarios,'Ramp Scenarios'!$C$3:$C$11)*SUM(Z62:Z62)-SUM(Z62:Z62)</f>
        <v>0</v>
      </c>
      <c r="AA69" s="147">
        <f ca="1">_xlfn.XLOOKUP(AA$68,Scenarios,'Ramp Scenarios'!$C$3:$C$11)*SUM(AA62:AA62)-SUM(AA62:AA62)</f>
        <v>0</v>
      </c>
      <c r="AB69" s="147">
        <f ca="1">_xlfn.XLOOKUP(AB$68,Scenarios,'Ramp Scenarios'!$C$3:$C$11)*SUM(AB62:AB62)-SUM(AB62:AB62)</f>
        <v>0</v>
      </c>
      <c r="AC69" s="147">
        <f ca="1">_xlfn.XLOOKUP(AC$68,Scenarios,'Ramp Scenarios'!$C$3:$C$11)*SUM(AC62:AC62)-SUM(AC62:AC62)</f>
        <v>0</v>
      </c>
      <c r="AD69" s="147">
        <f ca="1">_xlfn.XLOOKUP(AD$68,Scenarios,'Ramp Scenarios'!$C$3:$C$11)*SUM(AD62:AD62)-SUM(AD62:AD62)</f>
        <v>0</v>
      </c>
      <c r="AE69" s="147">
        <f ca="1">_xlfn.XLOOKUP(AE$68,Scenarios,'Ramp Scenarios'!$C$3:$C$11)*SUM(AE62:AE62)-SUM(AE62:AE62)</f>
        <v>0</v>
      </c>
      <c r="AF69" s="147">
        <f ca="1">_xlfn.XLOOKUP(AF$68,Scenarios,'Ramp Scenarios'!$C$3:$C$11)*SUM(AF62:AF62)-SUM(AF62:AF62)</f>
        <v>0</v>
      </c>
      <c r="AG69" s="147">
        <f ca="1">_xlfn.XLOOKUP(AG$68,Scenarios,'Ramp Scenarios'!$C$3:$C$11)*SUM(AG62:AG62)-SUM(AG62:AG62)</f>
        <v>0</v>
      </c>
      <c r="AH69" s="147">
        <f ca="1">_xlfn.XLOOKUP(AH$68,Scenarios,'Ramp Scenarios'!$C$3:$C$11)*SUM(AH62:AH62)-SUM(AH62:AH62)</f>
        <v>0</v>
      </c>
      <c r="AI69" s="147">
        <f ca="1">_xlfn.XLOOKUP(AI$68,Scenarios,'Ramp Scenarios'!$C$3:$C$11)*SUM(AI62:AI62)-SUM(AI62:AI62)</f>
        <v>0</v>
      </c>
      <c r="AJ69" s="150"/>
      <c r="AK69" s="150"/>
      <c r="AL69" s="137"/>
      <c r="AM69" s="140">
        <f ca="1">SUM(H69:AI69)</f>
        <v>0</v>
      </c>
      <c r="AN69" s="113"/>
      <c r="AO69" s="114"/>
    </row>
    <row r="70" spans="1:41" ht="15" hidden="1" customHeight="1" outlineLevel="1" x14ac:dyDescent="0.25">
      <c r="A70" s="113"/>
      <c r="B70" s="115"/>
      <c r="C70" s="115"/>
      <c r="D70" s="115"/>
      <c r="E70" s="114"/>
      <c r="F70" s="236"/>
      <c r="G70" s="86" t="s">
        <v>123</v>
      </c>
      <c r="H70" s="127">
        <f ca="1">(H65)*_xlfn.XLOOKUP(H68,Scenarios,'Ramp Scenarios'!$C$3:$C$11)</f>
        <v>0</v>
      </c>
      <c r="I70" s="127">
        <f ca="1">(I65)*_xlfn.XLOOKUP(I68,Scenarios,'Ramp Scenarios'!$C$3:$C$11)</f>
        <v>0</v>
      </c>
      <c r="J70" s="127">
        <f ca="1">(J65)*_xlfn.XLOOKUP(J68,Scenarios,'Ramp Scenarios'!$C$3:$C$11)</f>
        <v>13637.604411057742</v>
      </c>
      <c r="K70" s="127">
        <f ca="1">(K65)*_xlfn.XLOOKUP(K68,Scenarios,'Ramp Scenarios'!$C$3:$C$11)</f>
        <v>43775.853926144024</v>
      </c>
      <c r="L70" s="127">
        <f ca="1">(L65)*_xlfn.XLOOKUP(L68,Scenarios,'Ramp Scenarios'!$C$3:$C$11)</f>
        <v>73914.103441230312</v>
      </c>
      <c r="M70" s="127">
        <f ca="1">(M65)*_xlfn.XLOOKUP(M68,Scenarios,'Ramp Scenarios'!$C$3:$C$11)</f>
        <v>73914.103441230312</v>
      </c>
      <c r="N70" s="127">
        <f ca="1">(N65)*_xlfn.XLOOKUP(N68,Scenarios,'Ramp Scenarios'!$C$3:$C$11)</f>
        <v>73914.103441230312</v>
      </c>
      <c r="O70" s="127">
        <f ca="1">(O65)*_xlfn.XLOOKUP(O68,Scenarios,'Ramp Scenarios'!$C$3:$C$11)</f>
        <v>73914.103441230312</v>
      </c>
      <c r="P70" s="127">
        <f ca="1">(P65)*_xlfn.XLOOKUP(P68,Scenarios,'Ramp Scenarios'!$C$3:$C$11)</f>
        <v>73914.103441230312</v>
      </c>
      <c r="Q70" s="127">
        <f ca="1">(Q65)*_xlfn.XLOOKUP(Q68,Scenarios,'Ramp Scenarios'!$C$3:$C$11)</f>
        <v>414854.21371767385</v>
      </c>
      <c r="R70" s="127">
        <f ca="1">(R65)*_xlfn.XLOOKUP(R68,Scenarios,'Ramp Scenarios'!$C$3:$C$11)</f>
        <v>469404.63136190496</v>
      </c>
      <c r="S70" s="127">
        <f ca="1">(S65)*_xlfn.XLOOKUP(S68,Scenarios,'Ramp Scenarios'!$C$3:$C$11)</f>
        <v>633055.88429459778</v>
      </c>
      <c r="T70" s="127">
        <f ca="1">(T65)*_xlfn.XLOOKUP(T68,Scenarios,'Ramp Scenarios'!$C$3:$C$11)</f>
        <v>660331.09311671322</v>
      </c>
      <c r="U70" s="127">
        <f ca="1">(U65)*_xlfn.XLOOKUP(U68,Scenarios,'Ramp Scenarios'!$C$3:$C$11)</f>
        <v>660331.09311671322</v>
      </c>
      <c r="V70" s="127">
        <f ca="1">(V65)*_xlfn.XLOOKUP(V68,Scenarios,'Ramp Scenarios'!$C$3:$C$11)</f>
        <v>605780.67547248234</v>
      </c>
      <c r="W70" s="127">
        <f ca="1">(W65)*_xlfn.XLOOKUP(W68,Scenarios,'Ramp Scenarios'!$C$3:$C$11)</f>
        <v>496679.84018402034</v>
      </c>
      <c r="X70" s="127">
        <f ca="1">(X65)*_xlfn.XLOOKUP(X68,Scenarios,'Ramp Scenarios'!$C$3:$C$11)</f>
        <v>357440.75538047205</v>
      </c>
      <c r="Y70" s="127">
        <f ca="1">(Y65)*_xlfn.XLOOKUP(Y68,Scenarios,'Ramp Scenarios'!$C$3:$C$11)</f>
        <v>0</v>
      </c>
      <c r="Z70" s="127">
        <f ca="1">(Z65)*_xlfn.XLOOKUP(Z68,Scenarios,'Ramp Scenarios'!$C$3:$C$11)</f>
        <v>0</v>
      </c>
      <c r="AA70" s="127">
        <f ca="1">(AA65)*_xlfn.XLOOKUP(AA68,Scenarios,'Ramp Scenarios'!$C$3:$C$11)</f>
        <v>0</v>
      </c>
      <c r="AB70" s="127">
        <f ca="1">(AB65)*_xlfn.XLOOKUP(AB68,Scenarios,'Ramp Scenarios'!$C$3:$C$11)</f>
        <v>0</v>
      </c>
      <c r="AC70" s="127">
        <f ca="1">(AC65)*_xlfn.XLOOKUP(AC68,Scenarios,'Ramp Scenarios'!$C$3:$C$11)</f>
        <v>0</v>
      </c>
      <c r="AD70" s="127">
        <f ca="1">(AD65)*_xlfn.XLOOKUP(AD68,Scenarios,'Ramp Scenarios'!$C$3:$C$11)</f>
        <v>0</v>
      </c>
      <c r="AE70" s="127">
        <f ca="1">(AE65)*_xlfn.XLOOKUP(AE68,Scenarios,'Ramp Scenarios'!$C$3:$C$11)</f>
        <v>0</v>
      </c>
      <c r="AF70" s="127">
        <f ca="1">(AF65)*_xlfn.XLOOKUP(AF68,Scenarios,'Ramp Scenarios'!$C$3:$C$11)</f>
        <v>0</v>
      </c>
      <c r="AG70" s="127">
        <f ca="1">(AG65)*_xlfn.XLOOKUP(AG68,Scenarios,'Ramp Scenarios'!$C$3:$C$11)</f>
        <v>0</v>
      </c>
      <c r="AH70" s="127">
        <f ca="1">(AH65)*_xlfn.XLOOKUP(AH68,Scenarios,'Ramp Scenarios'!$C$3:$C$11)</f>
        <v>0</v>
      </c>
      <c r="AI70" s="127">
        <f ca="1">(AI65)*_xlfn.XLOOKUP(AI68,Scenarios,'Ramp Scenarios'!$C$3:$C$11)</f>
        <v>0</v>
      </c>
      <c r="AJ70" s="67"/>
      <c r="AK70" s="67"/>
      <c r="AL70" s="137"/>
      <c r="AM70" s="137">
        <f ca="1">SUM(H70:AI70)</f>
        <v>4724862.1621879321</v>
      </c>
      <c r="AN70" s="113"/>
      <c r="AO70" s="114"/>
    </row>
    <row r="71" spans="1:41" collapsed="1" x14ac:dyDescent="0.25">
      <c r="A71" s="113"/>
      <c r="B71" s="115"/>
      <c r="C71" s="115"/>
      <c r="D71" s="115"/>
      <c r="E71" s="114"/>
      <c r="F71" s="236"/>
      <c r="G71" s="86" t="s">
        <v>124</v>
      </c>
      <c r="H71" s="127">
        <f t="shared" ref="H71:AI71" ca="1" si="34">H70+H64</f>
        <v>0</v>
      </c>
      <c r="I71" s="127">
        <f t="shared" ca="1" si="34"/>
        <v>0</v>
      </c>
      <c r="J71" s="127">
        <f t="shared" ca="1" si="34"/>
        <v>13637.604411057742</v>
      </c>
      <c r="K71" s="127">
        <f t="shared" ca="1" si="34"/>
        <v>43775.853926144024</v>
      </c>
      <c r="L71" s="127">
        <f t="shared" ca="1" si="34"/>
        <v>73914.103441230312</v>
      </c>
      <c r="M71" s="127">
        <f t="shared" ca="1" si="34"/>
        <v>73914.103441230312</v>
      </c>
      <c r="N71" s="127">
        <f t="shared" ca="1" si="34"/>
        <v>73914.103441230312</v>
      </c>
      <c r="O71" s="127">
        <f t="shared" ca="1" si="34"/>
        <v>73914.103441230312</v>
      </c>
      <c r="P71" s="127">
        <f t="shared" ca="1" si="34"/>
        <v>73914.103441230312</v>
      </c>
      <c r="Q71" s="127">
        <f t="shared" ca="1" si="34"/>
        <v>414854.21371767385</v>
      </c>
      <c r="R71" s="127">
        <f t="shared" ca="1" si="34"/>
        <v>469404.63136190496</v>
      </c>
      <c r="S71" s="127">
        <f t="shared" ca="1" si="34"/>
        <v>633055.88429459778</v>
      </c>
      <c r="T71" s="127">
        <f t="shared" ca="1" si="34"/>
        <v>660331.09311671322</v>
      </c>
      <c r="U71" s="127">
        <f t="shared" ca="1" si="34"/>
        <v>660331.09311671322</v>
      </c>
      <c r="V71" s="127">
        <f t="shared" ca="1" si="34"/>
        <v>605780.67547248234</v>
      </c>
      <c r="W71" s="127">
        <f t="shared" ca="1" si="34"/>
        <v>496679.84018402034</v>
      </c>
      <c r="X71" s="127">
        <f t="shared" ca="1" si="34"/>
        <v>357440.75538047205</v>
      </c>
      <c r="Y71" s="127">
        <f t="shared" ca="1" si="34"/>
        <v>0</v>
      </c>
      <c r="Z71" s="127">
        <f t="shared" ca="1" si="34"/>
        <v>0</v>
      </c>
      <c r="AA71" s="127">
        <f t="shared" ca="1" si="34"/>
        <v>0</v>
      </c>
      <c r="AB71" s="127">
        <f t="shared" ca="1" si="34"/>
        <v>0</v>
      </c>
      <c r="AC71" s="127">
        <f t="shared" ca="1" si="34"/>
        <v>0</v>
      </c>
      <c r="AD71" s="127">
        <f t="shared" ca="1" si="34"/>
        <v>0</v>
      </c>
      <c r="AE71" s="127">
        <f t="shared" ca="1" si="34"/>
        <v>0</v>
      </c>
      <c r="AF71" s="127">
        <f t="shared" ca="1" si="34"/>
        <v>0</v>
      </c>
      <c r="AG71" s="127">
        <f t="shared" ca="1" si="34"/>
        <v>0</v>
      </c>
      <c r="AH71" s="127">
        <f t="shared" ca="1" si="34"/>
        <v>0</v>
      </c>
      <c r="AI71" s="127">
        <f t="shared" ca="1" si="34"/>
        <v>0</v>
      </c>
      <c r="AJ71" s="67"/>
      <c r="AK71" s="67"/>
      <c r="AL71" s="137"/>
      <c r="AM71" s="137">
        <f ca="1">SUM(H71:AI71)</f>
        <v>4724862.1621879321</v>
      </c>
      <c r="AN71" s="113"/>
      <c r="AO71" s="114"/>
    </row>
    <row r="72" spans="1:41" x14ac:dyDescent="0.25">
      <c r="C72" s="64"/>
      <c r="D72" s="64"/>
      <c r="E72" s="64"/>
      <c r="F72" s="64"/>
      <c r="G72" s="70"/>
      <c r="AM72" s="72"/>
    </row>
    <row r="73" spans="1:41" x14ac:dyDescent="0.25">
      <c r="C73" s="64"/>
      <c r="F73" s="64"/>
      <c r="G73" s="71"/>
      <c r="AJ73" s="65"/>
      <c r="AK73" s="65"/>
      <c r="AL73" s="65"/>
      <c r="AM73" s="72"/>
    </row>
    <row r="74" spans="1:41" x14ac:dyDescent="0.25">
      <c r="C74" s="64"/>
      <c r="F74" s="64"/>
      <c r="G74" s="71"/>
      <c r="K74" s="89"/>
    </row>
    <row r="75" spans="1:41" x14ac:dyDescent="0.25">
      <c r="C75" s="64"/>
      <c r="F75" s="64"/>
      <c r="G75" s="71"/>
      <c r="H75" s="4"/>
      <c r="I75" s="4"/>
      <c r="J75" s="4"/>
      <c r="K75" s="90"/>
    </row>
    <row r="76" spans="1:41" x14ac:dyDescent="0.25">
      <c r="C76" s="64"/>
      <c r="F76" s="64"/>
      <c r="G76" s="71"/>
      <c r="H76" s="4"/>
      <c r="I76" s="4"/>
      <c r="J76" s="4"/>
      <c r="K76" s="91"/>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row>
    <row r="77" spans="1:41" x14ac:dyDescent="0.25">
      <c r="C77" s="64"/>
      <c r="F77" s="64"/>
      <c r="G77" s="71"/>
      <c r="H77" s="4"/>
      <c r="I77" s="4"/>
      <c r="J77" s="4"/>
      <c r="K77" s="92"/>
    </row>
    <row r="78" spans="1:41" x14ac:dyDescent="0.25">
      <c r="C78" s="64"/>
      <c r="F78" s="7"/>
      <c r="G78" s="71"/>
      <c r="H78" s="4"/>
      <c r="I78" s="4"/>
      <c r="J78" s="4"/>
      <c r="K78" s="93"/>
    </row>
    <row r="79" spans="1:41" x14ac:dyDescent="0.25">
      <c r="C79" s="64"/>
      <c r="F79" s="7"/>
      <c r="G79" s="71"/>
      <c r="H79" s="4"/>
      <c r="I79" s="4"/>
      <c r="J79" s="4"/>
      <c r="K79" s="4"/>
    </row>
    <row r="80" spans="1:41" x14ac:dyDescent="0.25">
      <c r="C80" s="64"/>
      <c r="F80" s="64"/>
      <c r="G80" s="71"/>
      <c r="H80" s="4"/>
      <c r="I80" s="4"/>
      <c r="J80" s="4"/>
      <c r="K80" s="4"/>
    </row>
    <row r="81" spans="3:11" x14ac:dyDescent="0.25">
      <c r="C81" s="64"/>
      <c r="F81" s="66"/>
      <c r="H81" s="4"/>
      <c r="I81" s="4"/>
      <c r="J81" s="4"/>
      <c r="K81" s="4"/>
    </row>
    <row r="82" spans="3:11" x14ac:dyDescent="0.25">
      <c r="C82" s="64"/>
      <c r="F82" s="66"/>
      <c r="H82" s="4"/>
      <c r="I82" s="4"/>
      <c r="J82" s="4"/>
      <c r="K82" s="4"/>
    </row>
    <row r="83" spans="3:11" x14ac:dyDescent="0.25">
      <c r="C83" s="64"/>
      <c r="F83" s="66"/>
      <c r="H83" s="4"/>
      <c r="I83" s="4"/>
      <c r="J83" s="4"/>
      <c r="K83" s="4"/>
    </row>
    <row r="84" spans="3:11" x14ac:dyDescent="0.25">
      <c r="D84" s="66"/>
      <c r="E84" s="66"/>
      <c r="F84" s="66"/>
      <c r="H84" s="4"/>
      <c r="I84" s="4"/>
      <c r="J84" s="4"/>
      <c r="K84" s="4"/>
    </row>
    <row r="85" spans="3:11" x14ac:dyDescent="0.25">
      <c r="D85" s="66"/>
      <c r="E85" s="66"/>
      <c r="F85" s="66"/>
      <c r="H85" s="4"/>
      <c r="I85" s="4"/>
      <c r="J85" s="4"/>
      <c r="K85" s="4"/>
    </row>
    <row r="86" spans="3:11" x14ac:dyDescent="0.25">
      <c r="D86" s="66"/>
      <c r="E86" s="66"/>
      <c r="F86" s="66"/>
      <c r="H86" s="4"/>
      <c r="I86" s="4"/>
      <c r="J86" s="4"/>
      <c r="K86" s="4"/>
    </row>
    <row r="87" spans="3:11" x14ac:dyDescent="0.25">
      <c r="D87" s="66"/>
      <c r="E87" s="66"/>
      <c r="F87" s="66"/>
      <c r="H87" s="4"/>
      <c r="I87" s="4"/>
      <c r="J87" s="4"/>
      <c r="K87" s="4"/>
    </row>
    <row r="88" spans="3:11" x14ac:dyDescent="0.25">
      <c r="D88" s="66"/>
      <c r="E88" s="66"/>
      <c r="F88" s="66"/>
      <c r="H88" s="4"/>
      <c r="I88" s="4"/>
      <c r="J88" s="4"/>
      <c r="K88" s="4"/>
    </row>
    <row r="89" spans="3:11" x14ac:dyDescent="0.25">
      <c r="D89" s="66"/>
      <c r="E89" s="66"/>
      <c r="F89" s="66"/>
      <c r="H89" s="4"/>
      <c r="I89" s="4"/>
      <c r="J89" s="4"/>
      <c r="K89" s="4"/>
    </row>
    <row r="90" spans="3:11" x14ac:dyDescent="0.25">
      <c r="D90" s="66"/>
      <c r="E90" s="66"/>
      <c r="F90" s="66"/>
      <c r="H90" s="4"/>
      <c r="I90" s="4"/>
      <c r="J90" s="4"/>
      <c r="K90" s="4"/>
    </row>
    <row r="91" spans="3:11" x14ac:dyDescent="0.25">
      <c r="D91" s="66"/>
      <c r="E91" s="66"/>
      <c r="F91" s="66"/>
      <c r="H91" s="4"/>
      <c r="I91" s="4"/>
      <c r="J91" s="4"/>
      <c r="K91" s="4"/>
    </row>
    <row r="92" spans="3:11" x14ac:dyDescent="0.25">
      <c r="D92" s="66"/>
      <c r="E92" s="66"/>
      <c r="F92" s="66"/>
      <c r="H92" s="4"/>
      <c r="I92" s="4"/>
      <c r="J92" s="4"/>
      <c r="K92" s="4"/>
    </row>
    <row r="93" spans="3:11" x14ac:dyDescent="0.25">
      <c r="D93" s="66"/>
      <c r="E93" s="66"/>
      <c r="F93" s="66"/>
      <c r="H93" s="4"/>
      <c r="I93" s="4"/>
      <c r="J93" s="4"/>
      <c r="K93" s="4"/>
    </row>
    <row r="94" spans="3:11" x14ac:dyDescent="0.25">
      <c r="D94" s="66"/>
      <c r="E94" s="66"/>
      <c r="F94" s="66"/>
      <c r="H94" s="4"/>
      <c r="I94" s="4"/>
      <c r="J94" s="4"/>
      <c r="K94" s="4"/>
    </row>
    <row r="95" spans="3:11" x14ac:dyDescent="0.25">
      <c r="D95" s="66"/>
      <c r="E95" s="66"/>
      <c r="F95" s="66"/>
      <c r="H95" s="4"/>
      <c r="I95" s="4"/>
      <c r="J95" s="4"/>
      <c r="K95" s="4"/>
    </row>
    <row r="96" spans="3:11" x14ac:dyDescent="0.25">
      <c r="D96" s="66"/>
      <c r="E96" s="66"/>
      <c r="F96" s="66"/>
      <c r="H96" s="4"/>
      <c r="I96" s="4"/>
      <c r="J96" s="4"/>
      <c r="K96" s="4"/>
    </row>
    <row r="97" spans="4:11" x14ac:dyDescent="0.25">
      <c r="D97" s="66"/>
      <c r="E97" s="66"/>
      <c r="F97" s="66"/>
      <c r="H97" s="4"/>
      <c r="I97" s="4"/>
      <c r="J97" s="4"/>
      <c r="K97" s="4"/>
    </row>
    <row r="98" spans="4:11" x14ac:dyDescent="0.25">
      <c r="D98" s="66"/>
      <c r="E98" s="66"/>
      <c r="F98" s="66"/>
      <c r="H98" s="4"/>
      <c r="I98" s="4"/>
      <c r="J98" s="4"/>
      <c r="K98" s="4"/>
    </row>
    <row r="99" spans="4:11" x14ac:dyDescent="0.25">
      <c r="D99" s="66"/>
      <c r="E99" s="66"/>
      <c r="F99" s="66"/>
      <c r="H99" s="4"/>
      <c r="I99" s="4"/>
      <c r="J99" s="4"/>
      <c r="K99" s="4"/>
    </row>
    <row r="100" spans="4:11" x14ac:dyDescent="0.25">
      <c r="D100" s="66"/>
      <c r="E100" s="66"/>
      <c r="F100" s="66"/>
      <c r="H100" s="4"/>
      <c r="I100" s="4"/>
      <c r="J100" s="4"/>
      <c r="K100" s="4"/>
    </row>
    <row r="101" spans="4:11" x14ac:dyDescent="0.25">
      <c r="D101" s="66"/>
      <c r="E101" s="66"/>
      <c r="F101" s="66"/>
      <c r="H101" s="4"/>
      <c r="I101" s="4"/>
      <c r="J101" s="4"/>
      <c r="K101" s="4"/>
    </row>
    <row r="102" spans="4:11" x14ac:dyDescent="0.25">
      <c r="D102" s="66"/>
      <c r="E102" s="66"/>
      <c r="F102" s="66"/>
      <c r="H102" s="4"/>
      <c r="I102" s="4"/>
      <c r="J102" s="4"/>
      <c r="K102" s="4"/>
    </row>
    <row r="103" spans="4:11" x14ac:dyDescent="0.25">
      <c r="D103" s="66"/>
      <c r="E103" s="66"/>
      <c r="F103" s="66"/>
      <c r="H103" s="4"/>
      <c r="I103" s="4"/>
      <c r="J103" s="4"/>
      <c r="K103" s="4"/>
    </row>
    <row r="104" spans="4:11" x14ac:dyDescent="0.25">
      <c r="H104" s="4"/>
      <c r="I104" s="4"/>
      <c r="J104" s="4"/>
      <c r="K104" s="4"/>
    </row>
    <row r="105" spans="4:11" x14ac:dyDescent="0.25">
      <c r="H105" s="4"/>
      <c r="I105" s="4"/>
      <c r="J105" s="4"/>
      <c r="K105" s="4"/>
    </row>
    <row r="106" spans="4:11" x14ac:dyDescent="0.25">
      <c r="H106" s="4"/>
      <c r="I106" s="4"/>
      <c r="J106" s="4"/>
      <c r="K106" s="4"/>
    </row>
    <row r="107" spans="4:11" x14ac:dyDescent="0.25">
      <c r="H107" s="4"/>
      <c r="I107" s="4"/>
      <c r="J107" s="4"/>
      <c r="K107" s="4"/>
    </row>
    <row r="108" spans="4:11" x14ac:dyDescent="0.25">
      <c r="H108" s="4"/>
      <c r="I108" s="4"/>
      <c r="J108" s="4"/>
      <c r="K108" s="4"/>
    </row>
    <row r="109" spans="4:11" x14ac:dyDescent="0.25">
      <c r="H109" s="4"/>
      <c r="I109" s="4"/>
      <c r="J109" s="4"/>
      <c r="K109" s="4"/>
    </row>
    <row r="110" spans="4:11" x14ac:dyDescent="0.25">
      <c r="H110" s="4"/>
      <c r="I110" s="4"/>
      <c r="J110" s="4"/>
      <c r="K110" s="4"/>
    </row>
    <row r="111" spans="4:11" x14ac:dyDescent="0.25">
      <c r="H111" s="4"/>
      <c r="I111" s="4"/>
      <c r="J111" s="4"/>
      <c r="K111" s="4"/>
    </row>
    <row r="112" spans="4:11" x14ac:dyDescent="0.25">
      <c r="H112" s="4"/>
      <c r="I112" s="4"/>
      <c r="J112" s="4"/>
      <c r="K112" s="4"/>
    </row>
    <row r="113" spans="8:11" x14ac:dyDescent="0.25">
      <c r="H113" s="4"/>
      <c r="I113" s="4"/>
      <c r="J113" s="4"/>
      <c r="K113" s="4"/>
    </row>
  </sheetData>
  <sheetProtection autoFilter="0"/>
  <autoFilter ref="A5:AO59" xr:uid="{4BFA4B5A-E6B2-49C0-A07E-31BE57157FE3}">
    <filterColumn colId="2">
      <filters>
        <filter val="SPG_Platform_Linux"/>
      </filters>
    </filterColumn>
  </autoFilter>
  <mergeCells count="27">
    <mergeCell ref="F67:F71"/>
    <mergeCell ref="C63:E63"/>
    <mergeCell ref="C64:E64"/>
    <mergeCell ref="F64:F66"/>
    <mergeCell ref="A65:B65"/>
    <mergeCell ref="C65:E65"/>
    <mergeCell ref="C66:E66"/>
    <mergeCell ref="A61:E61"/>
    <mergeCell ref="F61:F63"/>
    <mergeCell ref="A62:B62"/>
    <mergeCell ref="C62:E62"/>
    <mergeCell ref="A63:B63"/>
    <mergeCell ref="AN1:AO1"/>
    <mergeCell ref="A2:C2"/>
    <mergeCell ref="D2:G2"/>
    <mergeCell ref="AN2:AO4"/>
    <mergeCell ref="A3:B4"/>
    <mergeCell ref="C3:C4"/>
    <mergeCell ref="D3:G3"/>
    <mergeCell ref="D4:G4"/>
    <mergeCell ref="H4:K4"/>
    <mergeCell ref="L4:O4"/>
    <mergeCell ref="P4:S4"/>
    <mergeCell ref="T4:W4"/>
    <mergeCell ref="X4:AA4"/>
    <mergeCell ref="AB4:AE4"/>
    <mergeCell ref="AF4:AI4"/>
  </mergeCells>
  <conditionalFormatting sqref="A1:AO1">
    <cfRule type="expression" dxfId="32" priority="45">
      <formula>$AN$2="MS Project"</formula>
    </cfRule>
    <cfRule type="expression" dxfId="31" priority="46">
      <formula>$AN$2="Complete"</formula>
    </cfRule>
    <cfRule type="expression" dxfId="30" priority="47">
      <formula>$AN$2="In Progress"</formula>
    </cfRule>
  </conditionalFormatting>
  <conditionalFormatting sqref="B25:C29 E25:G29 B6:G24">
    <cfRule type="expression" dxfId="29" priority="15">
      <formula>AND($AM6&gt;0,$B6="")</formula>
    </cfRule>
  </conditionalFormatting>
  <conditionalFormatting sqref="B30:G59">
    <cfRule type="expression" dxfId="28" priority="35">
      <formula>AND($AM30&gt;0,$B30="")</formula>
    </cfRule>
  </conditionalFormatting>
  <conditionalFormatting sqref="D25:D29">
    <cfRule type="expression" dxfId="27" priority="11">
      <formula>AND($AN25&gt;0,$C25="")</formula>
    </cfRule>
  </conditionalFormatting>
  <conditionalFormatting sqref="G6:AI59">
    <cfRule type="expression" dxfId="26" priority="9">
      <formula>SEARCH("inc",$G6,1)=1</formula>
    </cfRule>
  </conditionalFormatting>
  <conditionalFormatting sqref="H6:AI59">
    <cfRule type="expression" dxfId="25" priority="21">
      <formula>$AN$2="MS Project"</formula>
    </cfRule>
    <cfRule type="expression" dxfId="24" priority="22">
      <formula>$AN$2="Complete"</formula>
    </cfRule>
  </conditionalFormatting>
  <conditionalFormatting sqref="H63:AI63">
    <cfRule type="colorScale" priority="36">
      <colorScale>
        <cfvo type="min"/>
        <cfvo type="max"/>
        <color theme="1" tint="0.249977111117893"/>
        <color rgb="FFC00000"/>
      </colorScale>
    </cfRule>
  </conditionalFormatting>
  <conditionalFormatting sqref="H67:AI67">
    <cfRule type="cellIs" dxfId="23" priority="37" operator="greaterThan">
      <formula>15</formula>
    </cfRule>
    <cfRule type="cellIs" dxfId="22" priority="38" operator="greaterThan">
      <formula>10</formula>
    </cfRule>
    <cfRule type="cellIs" dxfId="21" priority="39" operator="greaterThan">
      <formula>4</formula>
    </cfRule>
  </conditionalFormatting>
  <conditionalFormatting sqref="AN2:AN3">
    <cfRule type="cellIs" dxfId="20" priority="42" operator="equal">
      <formula>"MS Project"</formula>
    </cfRule>
    <cfRule type="cellIs" dxfId="19" priority="43" operator="equal">
      <formula>"In Progress"</formula>
    </cfRule>
    <cfRule type="cellIs" dxfId="18" priority="44" operator="equal">
      <formula>"Complete"</formula>
    </cfRule>
  </conditionalFormatting>
  <conditionalFormatting sqref="AO5:AO59">
    <cfRule type="cellIs" dxfId="17" priority="40" operator="equal">
      <formula>"OK"</formula>
    </cfRule>
  </conditionalFormatting>
  <conditionalFormatting sqref="AO6:AO59">
    <cfRule type="cellIs" dxfId="16" priority="41" operator="equal">
      <formula>"Check"</formula>
    </cfRule>
  </conditionalFormatting>
  <dataValidations count="7">
    <dataValidation type="list" allowBlank="1" showInputMessage="1" showErrorMessage="1" sqref="AN2:AN3" xr:uid="{11F6B8B1-265B-4282-8C1A-71C8B07126AC}">
      <formula1>Status</formula1>
    </dataValidation>
    <dataValidation type="list" allowBlank="1" showInputMessage="1" showErrorMessage="1" sqref="H68:AI68" xr:uid="{665BD64F-11D9-4C92-97A3-BFB9EFB58DD8}">
      <formula1>Scenarios</formula1>
    </dataValidation>
    <dataValidation type="list" allowBlank="1" showErrorMessage="1" errorTitle="Invalid" error="Please select a valid entry" prompt="Select allocation file" sqref="F6:F59" xr:uid="{2970922C-CF5C-4482-875B-1E01743DC548}">
      <formula1>INDIRECT(B6)</formula1>
    </dataValidation>
    <dataValidation type="list" allowBlank="1" showErrorMessage="1" errorTitle="Invalid" error="Please select a valid entry" sqref="C6:C59" xr:uid="{62449567-ABA8-44E6-A9CF-625D790BBB9E}">
      <formula1>INDIRECT($B6&amp;"Team")</formula1>
    </dataValidation>
    <dataValidation type="list" allowBlank="1" showErrorMessage="1" errorTitle="Invalid" error="Please select a valid entry" sqref="B6:B59" xr:uid="{8314C926-8FF7-4A6E-8392-F0A2871593A6}">
      <formula1>CVP</formula1>
    </dataValidation>
    <dataValidation type="list" allowBlank="1" showInputMessage="1" showErrorMessage="1" sqref="E6:E59" xr:uid="{46FCA223-B584-4D55-BEA3-A756506FEF45}">
      <formula1>Location</formula1>
    </dataValidation>
    <dataValidation type="list" allowBlank="1" showErrorMessage="1" errorTitle="Invalid" error="Please select a valid entry" sqref="G6:G59" xr:uid="{7DAA4F09-57EA-4F31-AC89-AD170FE123EC}">
      <formula1>HCType</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FA166B11-3363-4631-BFAF-E3A88BC17BA6}">
          <x14:colorSeries rgb="FF5F5F5F"/>
          <x14:colorNegative rgb="FFFFB620"/>
          <x14:colorAxis rgb="FF000000"/>
          <x14:colorMarkers rgb="FFD70077"/>
          <x14:colorFirst rgb="FF5687C2"/>
          <x14:colorLast rgb="FF359CEB"/>
          <x14:colorHigh rgb="FF56BE79"/>
          <x14:colorLow rgb="FFFF5055"/>
          <x14:sparklines>
            <x14:sparkline>
              <xm:f>'Capitola C40 v1.0 r2 (PAVS)'!H6:AI6</xm:f>
              <xm:sqref>AN6</xm:sqref>
            </x14:sparkline>
            <x14:sparkline>
              <xm:f>'Capitola C40 v1.0 r2 (PAVS)'!H7:AI7</xm:f>
              <xm:sqref>AN7</xm:sqref>
            </x14:sparkline>
            <x14:sparkline>
              <xm:f>'Capitola C40 v1.0 r2 (PAVS)'!H8:AI8</xm:f>
              <xm:sqref>AN8</xm:sqref>
            </x14:sparkline>
            <x14:sparkline>
              <xm:f>'Capitola C40 v1.0 r2 (PAVS)'!H9:AI9</xm:f>
              <xm:sqref>AN9</xm:sqref>
            </x14:sparkline>
            <x14:sparkline>
              <xm:f>'Capitola C40 v1.0 r2 (PAVS)'!H10:AI10</xm:f>
              <xm:sqref>AN10</xm:sqref>
            </x14:sparkline>
            <x14:sparkline>
              <xm:f>'Capitola C40 v1.0 r2 (PAVS)'!H11:AI11</xm:f>
              <xm:sqref>AN11</xm:sqref>
            </x14:sparkline>
            <x14:sparkline>
              <xm:f>'Capitola C40 v1.0 r2 (PAVS)'!H12:AI12</xm:f>
              <xm:sqref>AN12</xm:sqref>
            </x14:sparkline>
            <x14:sparkline>
              <xm:f>'Capitola C40 v1.0 r2 (PAVS)'!H13:AI13</xm:f>
              <xm:sqref>AN13</xm:sqref>
            </x14:sparkline>
            <x14:sparkline>
              <xm:f>'Capitola C40 v1.0 r2 (PAVS)'!H14:AI14</xm:f>
              <xm:sqref>AN14</xm:sqref>
            </x14:sparkline>
            <x14:sparkline>
              <xm:f>'Capitola C40 v1.0 r2 (PAVS)'!H15:AI15</xm:f>
              <xm:sqref>AN15</xm:sqref>
            </x14:sparkline>
            <x14:sparkline>
              <xm:f>'Capitola C40 v1.0 r2 (PAVS)'!H16:AI16</xm:f>
              <xm:sqref>AN16</xm:sqref>
            </x14:sparkline>
            <x14:sparkline>
              <xm:f>'Capitola C40 v1.0 r2 (PAVS)'!H17:AI17</xm:f>
              <xm:sqref>AN17</xm:sqref>
            </x14:sparkline>
            <x14:sparkline>
              <xm:f>'Capitola C40 v1.0 r2 (PAVS)'!H18:AI18</xm:f>
              <xm:sqref>AN18</xm:sqref>
            </x14:sparkline>
            <x14:sparkline>
              <xm:f>'Capitola C40 v1.0 r2 (PAVS)'!H24:AI24</xm:f>
              <xm:sqref>AN24</xm:sqref>
            </x14:sparkline>
            <x14:sparkline>
              <xm:f>'Capitola C40 v1.0 r2 (PAVS)'!H25:AI25</xm:f>
              <xm:sqref>AN25</xm:sqref>
            </x14:sparkline>
            <x14:sparkline>
              <xm:f>'Capitola C40 v1.0 r2 (PAVS)'!H26:AI26</xm:f>
              <xm:sqref>AN26</xm:sqref>
            </x14:sparkline>
            <x14:sparkline>
              <xm:f>'Capitola C40 v1.0 r2 (PAVS)'!H27:AI27</xm:f>
              <xm:sqref>AN27</xm:sqref>
            </x14:sparkline>
            <x14:sparkline>
              <xm:f>'Capitola C40 v1.0 r2 (PAVS)'!H28:AI28</xm:f>
              <xm:sqref>AN28</xm:sqref>
            </x14:sparkline>
            <x14:sparkline>
              <xm:f>'Capitola C40 v1.0 r2 (PAVS)'!H29:AI29</xm:f>
              <xm:sqref>AN29</xm:sqref>
            </x14:sparkline>
            <x14:sparkline>
              <xm:f>'Capitola C40 v1.0 r2 (PAVS)'!H30:AI30</xm:f>
              <xm:sqref>AN30</xm:sqref>
            </x14:sparkline>
            <x14:sparkline>
              <xm:f>'Capitola C40 v1.0 r2 (PAVS)'!H31:AI31</xm:f>
              <xm:sqref>AN31</xm:sqref>
            </x14:sparkline>
            <x14:sparkline>
              <xm:f>'Capitola C40 v1.0 r2 (PAVS)'!H32:AI32</xm:f>
              <xm:sqref>AN32</xm:sqref>
            </x14:sparkline>
            <x14:sparkline>
              <xm:f>'Capitola C40 v1.0 r2 (PAVS)'!H33:AI33</xm:f>
              <xm:sqref>AN33</xm:sqref>
            </x14:sparkline>
            <x14:sparkline>
              <xm:f>'Capitola C40 v1.0 r2 (PAVS)'!H34:AI34</xm:f>
              <xm:sqref>AN34</xm:sqref>
            </x14:sparkline>
            <x14:sparkline>
              <xm:f>'Capitola C40 v1.0 r2 (PAVS)'!H35:AI35</xm:f>
              <xm:sqref>AN35</xm:sqref>
            </x14:sparkline>
            <x14:sparkline>
              <xm:f>'Capitola C40 v1.0 r2 (PAVS)'!H36:AI36</xm:f>
              <xm:sqref>AN36</xm:sqref>
            </x14:sparkline>
            <x14:sparkline>
              <xm:f>'Capitola C40 v1.0 r2 (PAVS)'!H37:AI37</xm:f>
              <xm:sqref>AN37</xm:sqref>
            </x14:sparkline>
            <x14:sparkline>
              <xm:f>'Capitola C40 v1.0 r2 (PAVS)'!H38:AI38</xm:f>
              <xm:sqref>AN38</xm:sqref>
            </x14:sparkline>
            <x14:sparkline>
              <xm:f>'Capitola C40 v1.0 r2 (PAVS)'!H39:AI39</xm:f>
              <xm:sqref>AN39</xm:sqref>
            </x14:sparkline>
            <x14:sparkline>
              <xm:f>'Capitola C40 v1.0 r2 (PAVS)'!H40:AI40</xm:f>
              <xm:sqref>AN40</xm:sqref>
            </x14:sparkline>
            <x14:sparkline>
              <xm:f>'Capitola C40 v1.0 r2 (PAVS)'!H41:AI41</xm:f>
              <xm:sqref>AN41</xm:sqref>
            </x14:sparkline>
            <x14:sparkline>
              <xm:f>'Capitola C40 v1.0 r2 (PAVS)'!H42:AI42</xm:f>
              <xm:sqref>AN42</xm:sqref>
            </x14:sparkline>
            <x14:sparkline>
              <xm:f>'Capitola C40 v1.0 r2 (PAVS)'!H43:AI43</xm:f>
              <xm:sqref>AN43</xm:sqref>
            </x14:sparkline>
            <x14:sparkline>
              <xm:f>'Capitola C40 v1.0 r2 (PAVS)'!H44:AI44</xm:f>
              <xm:sqref>AN44</xm:sqref>
            </x14:sparkline>
            <x14:sparkline>
              <xm:f>'Capitola C40 v1.0 r2 (PAVS)'!H45:AI45</xm:f>
              <xm:sqref>AN45</xm:sqref>
            </x14:sparkline>
            <x14:sparkline>
              <xm:f>'Capitola C40 v1.0 r2 (PAVS)'!H46:AI46</xm:f>
              <xm:sqref>AN46</xm:sqref>
            </x14:sparkline>
            <x14:sparkline>
              <xm:f>'Capitola C40 v1.0 r2 (PAVS)'!H47:AI47</xm:f>
              <xm:sqref>AN47</xm:sqref>
            </x14:sparkline>
            <x14:sparkline>
              <xm:f>'Capitola C40 v1.0 r2 (PAVS)'!H48:AI48</xm:f>
              <xm:sqref>AN48</xm:sqref>
            </x14:sparkline>
            <x14:sparkline>
              <xm:f>'Capitola C40 v1.0 r2 (PAVS)'!H49:AI49</xm:f>
              <xm:sqref>AN49</xm:sqref>
            </x14:sparkline>
            <x14:sparkline>
              <xm:f>'Capitola C40 v1.0 r2 (PAVS)'!H50:AI50</xm:f>
              <xm:sqref>AN50</xm:sqref>
            </x14:sparkline>
            <x14:sparkline>
              <xm:f>'Capitola C40 v1.0 r2 (PAVS)'!H51:AI51</xm:f>
              <xm:sqref>AN51</xm:sqref>
            </x14:sparkline>
            <x14:sparkline>
              <xm:f>'Capitola C40 v1.0 r2 (PAVS)'!H52:AI52</xm:f>
              <xm:sqref>AN52</xm:sqref>
            </x14:sparkline>
            <x14:sparkline>
              <xm:f>'Capitola C40 v1.0 r2 (PAVS)'!H53:AI53</xm:f>
              <xm:sqref>AN53</xm:sqref>
            </x14:sparkline>
            <x14:sparkline>
              <xm:f>'Capitola C40 v1.0 r2 (PAVS)'!H54:AI54</xm:f>
              <xm:sqref>AN54</xm:sqref>
            </x14:sparkline>
            <x14:sparkline>
              <xm:f>'Capitola C40 v1.0 r2 (PAVS)'!H55:AI55</xm:f>
              <xm:sqref>AN55</xm:sqref>
            </x14:sparkline>
            <x14:sparkline>
              <xm:f>'Capitola C40 v1.0 r2 (PAVS)'!H56:AI56</xm:f>
              <xm:sqref>AN56</xm:sqref>
            </x14:sparkline>
            <x14:sparkline>
              <xm:f>'Capitola C40 v1.0 r2 (PAVS)'!H57:AI57</xm:f>
              <xm:sqref>AN57</xm:sqref>
            </x14:sparkline>
            <x14:sparkline>
              <xm:f>'Capitola C40 v1.0 r2 (PAVS)'!H58:AI58</xm:f>
              <xm:sqref>AN58</xm:sqref>
            </x14:sparkline>
            <x14:sparkline>
              <xm:f>'Capitola C40 v1.0 r2 (PAVS)'!H59:AI59</xm:f>
              <xm:sqref>AN59</xm:sqref>
            </x14:sparkline>
          </x14:sparklines>
        </x14:sparklineGroup>
        <x14:sparklineGroup type="column" displayEmptyCellsAs="gap" high="1" minAxisType="group" xr2:uid="{07B6625F-76F4-41D8-9B0A-16C4664E8B6B}">
          <x14:colorSeries rgb="FF5F5F5F"/>
          <x14:colorNegative rgb="FFFFB620"/>
          <x14:colorAxis rgb="FF000000"/>
          <x14:colorMarkers rgb="FFD70077"/>
          <x14:colorFirst rgb="FF5687C2"/>
          <x14:colorLast rgb="FF359CEB"/>
          <x14:colorHigh rgb="FF56BE79"/>
          <x14:colorLow rgb="FFFF5055"/>
          <x14:sparklines>
            <x14:sparkline>
              <xm:f>'Capitola C40 v1.0 r2 (PAVS)'!H19:AI19</xm:f>
              <xm:sqref>AN19</xm:sqref>
            </x14:sparkline>
            <x14:sparkline>
              <xm:f>'Capitola C40 v1.0 r2 (PAVS)'!H20:AI20</xm:f>
              <xm:sqref>AN20</xm:sqref>
            </x14:sparkline>
            <x14:sparkline>
              <xm:f>'Capitola C40 v1.0 r2 (PAVS)'!H21:AI21</xm:f>
              <xm:sqref>AN21</xm:sqref>
            </x14:sparkline>
            <x14:sparkline>
              <xm:f>'Capitola C40 v1.0 r2 (PAVS)'!H22:AI22</xm:f>
              <xm:sqref>AN22</xm:sqref>
            </x14:sparkline>
            <x14:sparkline>
              <xm:f>'Capitola C40 v1.0 r2 (PAVS)'!H23:AI23</xm:f>
              <xm:sqref>AN23</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E9790-3457-4594-B244-8601F9C882DA}">
  <sheetPr published="0" codeName="Sheet9" filterMode="1">
    <tabColor rgb="FF00B050"/>
  </sheetPr>
  <dimension ref="A1:AR118"/>
  <sheetViews>
    <sheetView zoomScale="80" zoomScaleNormal="80" workbookViewId="0">
      <pane xSplit="7" ySplit="5" topLeftCell="H17" activePane="bottomRight" state="frozen"/>
      <selection pane="topRight" activeCell="H1" sqref="H1"/>
      <selection pane="bottomLeft" activeCell="A6" sqref="A6"/>
      <selection pane="bottomRight" activeCell="AK20" sqref="AK20:AK21"/>
    </sheetView>
  </sheetViews>
  <sheetFormatPr defaultColWidth="8.42578125" defaultRowHeight="15" outlineLevelRow="1" outlineLevelCol="1" x14ac:dyDescent="0.25"/>
  <cols>
    <col min="1" max="1" width="10.42578125" customWidth="1" outlineLevel="1"/>
    <col min="2" max="2" width="10.42578125" customWidth="1"/>
    <col min="3" max="3" width="24.140625" customWidth="1"/>
    <col min="4" max="4" width="35" customWidth="1"/>
    <col min="5" max="5" width="9.42578125" customWidth="1" outlineLevel="1"/>
    <col min="6" max="6" width="20" customWidth="1" outlineLevel="1"/>
    <col min="7" max="7" width="19.5703125" bestFit="1" customWidth="1"/>
    <col min="8" max="11" width="6.42578125" customWidth="1"/>
    <col min="12" max="12" width="6.42578125" customWidth="1" outlineLevel="1"/>
    <col min="13" max="13" width="6.5703125" customWidth="1" outlineLevel="1"/>
    <col min="14" max="14" width="7" customWidth="1" outlineLevel="1"/>
    <col min="15" max="15" width="7.42578125" customWidth="1" outlineLevel="1"/>
    <col min="16" max="26" width="6.5703125" customWidth="1" outlineLevel="1"/>
    <col min="27" max="27" width="6.42578125" customWidth="1" outlineLevel="1"/>
    <col min="28" max="35" width="6.42578125" hidden="1" customWidth="1" outlineLevel="1"/>
    <col min="36" max="36" width="11.42578125" bestFit="1" customWidth="1"/>
    <col min="37" max="37" width="9.42578125" customWidth="1"/>
    <col min="38" max="38" width="11.42578125" customWidth="1" outlineLevel="1"/>
    <col min="39" max="39" width="13.42578125" bestFit="1" customWidth="1"/>
    <col min="40" max="40" width="16.42578125" customWidth="1"/>
    <col min="41" max="41" width="6.42578125" bestFit="1" customWidth="1"/>
    <col min="42" max="44" width="8.42578125" customWidth="1"/>
    <col min="45" max="45" width="67.5703125" customWidth="1"/>
    <col min="46" max="46" width="8.42578125" customWidth="1"/>
  </cols>
  <sheetData>
    <row r="1" spans="1:44" ht="19.5" customHeight="1" x14ac:dyDescent="0.25">
      <c r="A1" s="97" t="str">
        <f>_xlfn.XLOOKUP(AN2,Status,statusnote,"",0,1)</f>
        <v>Sizing is CLOSED.  This sheet is LOCKED and PROTECTED from editing.  NO CHANGES are permitted while locked.  Please contact Sam Huynh if you need to make any modifications.</v>
      </c>
      <c r="B1" s="98"/>
      <c r="C1" s="98"/>
      <c r="D1" s="37"/>
      <c r="E1" s="37"/>
      <c r="F1" s="37"/>
      <c r="G1" s="37"/>
      <c r="H1" s="95"/>
      <c r="I1" s="95"/>
      <c r="J1" s="95"/>
      <c r="K1" s="95"/>
      <c r="L1" s="95"/>
      <c r="M1" s="95"/>
      <c r="N1" s="95"/>
      <c r="O1" s="95"/>
      <c r="P1" s="95"/>
      <c r="Q1" s="95"/>
      <c r="R1" s="95"/>
      <c r="S1" s="96"/>
      <c r="T1" s="96"/>
      <c r="U1" s="96"/>
      <c r="V1" s="96"/>
      <c r="W1" s="38"/>
      <c r="X1" s="38"/>
      <c r="Y1" s="38"/>
      <c r="Z1" s="38"/>
      <c r="AA1" s="38"/>
      <c r="AB1" s="38"/>
      <c r="AC1" s="38"/>
      <c r="AD1" s="38"/>
      <c r="AE1" s="38"/>
      <c r="AF1" s="38"/>
      <c r="AG1" s="38"/>
      <c r="AH1" s="38"/>
      <c r="AI1" s="38"/>
      <c r="AJ1" s="38"/>
      <c r="AK1" s="38"/>
      <c r="AL1" s="38"/>
      <c r="AM1" s="39"/>
      <c r="AN1" s="200" t="s">
        <v>34</v>
      </c>
      <c r="AO1" s="201"/>
      <c r="AP1" s="40"/>
      <c r="AQ1" s="40"/>
      <c r="AR1" s="40"/>
    </row>
    <row r="2" spans="1:44" ht="75.75" customHeight="1" x14ac:dyDescent="0.25">
      <c r="A2" s="202" t="str" cm="1">
        <f t="array" aca="1" ref="A2" ca="1">MID(CELL("filename",A1),FIND("]",CELL("filename",A1))+1,256)</f>
        <v>Capitola C40 v1.0 r1</v>
      </c>
      <c r="B2" s="202"/>
      <c r="C2" s="203"/>
      <c r="D2" s="204" t="s">
        <v>143</v>
      </c>
      <c r="E2" s="205"/>
      <c r="F2" s="205"/>
      <c r="G2" s="205"/>
      <c r="H2" s="41"/>
      <c r="I2" s="41"/>
      <c r="J2" s="41"/>
      <c r="K2" s="110"/>
      <c r="L2" s="110"/>
      <c r="M2" s="110"/>
      <c r="N2" s="110"/>
      <c r="O2" s="41"/>
      <c r="P2" s="41"/>
      <c r="Q2" s="41"/>
      <c r="R2" s="41"/>
      <c r="S2" s="41"/>
      <c r="T2" s="41"/>
      <c r="U2" s="41"/>
      <c r="V2" s="41"/>
      <c r="W2" s="41"/>
      <c r="X2" s="41"/>
      <c r="Y2" s="41"/>
      <c r="Z2" s="41"/>
      <c r="AA2" s="41"/>
      <c r="AB2" s="41"/>
      <c r="AC2" s="41"/>
      <c r="AD2" s="41"/>
      <c r="AE2" s="41"/>
      <c r="AF2" s="41"/>
      <c r="AG2" s="41"/>
      <c r="AH2" s="41"/>
      <c r="AI2" s="41"/>
      <c r="AJ2" s="109"/>
      <c r="AK2" s="109"/>
      <c r="AL2" s="109"/>
      <c r="AM2" s="109"/>
      <c r="AN2" s="206" t="s">
        <v>144</v>
      </c>
      <c r="AO2" s="207"/>
      <c r="AP2" s="20"/>
      <c r="AQ2" s="20"/>
      <c r="AR2" s="20"/>
    </row>
    <row r="3" spans="1:44" x14ac:dyDescent="0.25">
      <c r="A3" s="210" t="s">
        <v>37</v>
      </c>
      <c r="B3" s="211"/>
      <c r="C3" s="214">
        <v>46168</v>
      </c>
      <c r="D3" s="216" t="s">
        <v>38</v>
      </c>
      <c r="E3" s="217"/>
      <c r="F3" s="217"/>
      <c r="G3" s="217"/>
      <c r="H3" s="41"/>
      <c r="I3" s="41"/>
      <c r="J3" s="41"/>
      <c r="K3" s="110"/>
      <c r="L3" s="110" t="s">
        <v>39</v>
      </c>
      <c r="M3" s="110" t="s">
        <v>40</v>
      </c>
      <c r="N3" s="110" t="s">
        <v>41</v>
      </c>
      <c r="O3" s="110" t="s">
        <v>42</v>
      </c>
      <c r="P3" s="110" t="s">
        <v>43</v>
      </c>
      <c r="Q3" s="110" t="s">
        <v>44</v>
      </c>
      <c r="R3" s="110"/>
      <c r="S3" s="110"/>
      <c r="T3" s="110"/>
      <c r="U3" s="110"/>
      <c r="V3" s="110" t="s">
        <v>45</v>
      </c>
      <c r="W3" s="110"/>
      <c r="X3" s="41"/>
      <c r="Y3" s="41"/>
      <c r="Z3" s="41"/>
      <c r="AA3" s="41"/>
      <c r="AB3" s="41"/>
      <c r="AC3" s="41"/>
      <c r="AD3" s="41"/>
      <c r="AE3" s="41"/>
      <c r="AF3" s="41"/>
      <c r="AG3" s="41"/>
      <c r="AH3" s="41"/>
      <c r="AI3" s="41"/>
      <c r="AJ3" s="109"/>
      <c r="AK3" s="109"/>
      <c r="AL3" s="109"/>
      <c r="AM3" s="109"/>
      <c r="AN3" s="206"/>
      <c r="AO3" s="207"/>
      <c r="AP3" s="20"/>
      <c r="AQ3" s="20"/>
      <c r="AR3" s="20"/>
    </row>
    <row r="4" spans="1:44" ht="15.75" customHeight="1" x14ac:dyDescent="0.25">
      <c r="A4" s="212"/>
      <c r="B4" s="213"/>
      <c r="C4" s="215"/>
      <c r="D4" s="218" t="s">
        <v>46</v>
      </c>
      <c r="E4" s="219"/>
      <c r="F4" s="219"/>
      <c r="G4" s="220"/>
      <c r="H4" s="221">
        <v>2026</v>
      </c>
      <c r="I4" s="222"/>
      <c r="J4" s="222"/>
      <c r="K4" s="223"/>
      <c r="L4" s="221">
        <f>H4+1</f>
        <v>2027</v>
      </c>
      <c r="M4" s="222"/>
      <c r="N4" s="222"/>
      <c r="O4" s="223"/>
      <c r="P4" s="224">
        <f>L4+1</f>
        <v>2028</v>
      </c>
      <c r="Q4" s="224"/>
      <c r="R4" s="224"/>
      <c r="S4" s="224"/>
      <c r="T4" s="224">
        <f>P4+1</f>
        <v>2029</v>
      </c>
      <c r="U4" s="224"/>
      <c r="V4" s="224"/>
      <c r="W4" s="224"/>
      <c r="X4" s="224">
        <f>T4+1</f>
        <v>2030</v>
      </c>
      <c r="Y4" s="224"/>
      <c r="Z4" s="224"/>
      <c r="AA4" s="224"/>
      <c r="AB4" s="224">
        <f>X4+1</f>
        <v>2031</v>
      </c>
      <c r="AC4" s="224"/>
      <c r="AD4" s="224"/>
      <c r="AE4" s="224"/>
      <c r="AF4" s="224">
        <f>AB4+1</f>
        <v>2032</v>
      </c>
      <c r="AG4" s="224"/>
      <c r="AH4" s="224"/>
      <c r="AI4" s="224"/>
      <c r="AJ4" s="143">
        <f>SUBTOTAL(9,AJ6:AJ64)</f>
        <v>634.6</v>
      </c>
      <c r="AK4" s="144">
        <f>SUBTOTAL(9,AK6:AK64)</f>
        <v>76</v>
      </c>
      <c r="AL4" s="141">
        <f>AVERAGE(AL6:AL64)</f>
        <v>16666.538521252289</v>
      </c>
      <c r="AM4" s="142">
        <f>SUBTOTAL(9,AM6:AM64)</f>
        <v>19038734.688538656</v>
      </c>
      <c r="AN4" s="208"/>
      <c r="AO4" s="209"/>
      <c r="AP4" s="20"/>
      <c r="AQ4" s="20"/>
      <c r="AR4" s="20"/>
    </row>
    <row r="5" spans="1:44" ht="33" customHeight="1" x14ac:dyDescent="0.25">
      <c r="A5" s="42" t="s">
        <v>47</v>
      </c>
      <c r="B5" s="42" t="s">
        <v>48</v>
      </c>
      <c r="C5" s="42" t="s">
        <v>49</v>
      </c>
      <c r="D5" s="43" t="s">
        <v>50</v>
      </c>
      <c r="E5" s="43" t="s">
        <v>51</v>
      </c>
      <c r="F5" s="42" t="s">
        <v>52</v>
      </c>
      <c r="G5" s="43" t="s">
        <v>53</v>
      </c>
      <c r="H5" s="44" t="str">
        <f>"Q1"&amp;RIGHT(H4,2)</f>
        <v>Q126</v>
      </c>
      <c r="I5" s="44" t="str">
        <f>"Q"&amp;MID(H5,2,1)+1&amp;RIGHT(H4,2)</f>
        <v>Q226</v>
      </c>
      <c r="J5" s="44" t="str">
        <f>"Q"&amp;MID(I5,2,1)+1&amp;RIGHT(H4,2)</f>
        <v>Q326</v>
      </c>
      <c r="K5" s="44" t="str">
        <f>"Q"&amp;MID(J5,2,1)+1&amp;RIGHT(H4,2)</f>
        <v>Q426</v>
      </c>
      <c r="L5" s="44" t="str">
        <f>"Q1"&amp;RIGHT(L4,2)</f>
        <v>Q127</v>
      </c>
      <c r="M5" s="44" t="str">
        <f>"Q"&amp;MID(L5,2,1)+1&amp;RIGHT(L4,2)</f>
        <v>Q227</v>
      </c>
      <c r="N5" s="44" t="str">
        <f>"Q"&amp;MID(M5,2,1)+1&amp;RIGHT(L4,2)</f>
        <v>Q327</v>
      </c>
      <c r="O5" s="44" t="str">
        <f>"Q"&amp;MID(N5,2,1)+1&amp;RIGHT(L4,2)</f>
        <v>Q427</v>
      </c>
      <c r="P5" s="44" t="str">
        <f>"Q1"&amp;RIGHT(P4,2)</f>
        <v>Q128</v>
      </c>
      <c r="Q5" s="44" t="str">
        <f>"Q"&amp;MID(P5,2,1)+1&amp;RIGHT(P4,2)</f>
        <v>Q228</v>
      </c>
      <c r="R5" s="44" t="str">
        <f>"Q"&amp;MID(Q5,2,1)+1&amp;RIGHT(P4,2)</f>
        <v>Q328</v>
      </c>
      <c r="S5" s="44" t="str">
        <f>"Q"&amp;MID(R5,2,1)+1&amp;RIGHT(P4,2)</f>
        <v>Q428</v>
      </c>
      <c r="T5" s="44" t="str">
        <f>"Q1"&amp;RIGHT(T4,2)</f>
        <v>Q129</v>
      </c>
      <c r="U5" s="44" t="str">
        <f>"Q"&amp;MID(T5,2,1)+1&amp;RIGHT(T4,2)</f>
        <v>Q229</v>
      </c>
      <c r="V5" s="44" t="str">
        <f>"Q"&amp;MID(U5,2,1)+1&amp;RIGHT(T4,2)</f>
        <v>Q329</v>
      </c>
      <c r="W5" s="44" t="str">
        <f>"Q"&amp;MID(V5,2,1)+1&amp;RIGHT(T4,2)</f>
        <v>Q429</v>
      </c>
      <c r="X5" s="44" t="str">
        <f>"Q1"&amp;RIGHT(X4,2)</f>
        <v>Q130</v>
      </c>
      <c r="Y5" s="44" t="str">
        <f>"Q"&amp;MID(X5,2,1)+1&amp;RIGHT(X4,2)</f>
        <v>Q230</v>
      </c>
      <c r="Z5" s="44" t="str">
        <f>"Q"&amp;MID(Y5,2,1)+1&amp;RIGHT(X4,2)</f>
        <v>Q330</v>
      </c>
      <c r="AA5" s="44" t="str">
        <f>"Q"&amp;MID(Z5,2,1)+1&amp;RIGHT(X4,2)</f>
        <v>Q430</v>
      </c>
      <c r="AB5" s="44" t="str">
        <f>"Q1"&amp;RIGHT(AB4,2)</f>
        <v>Q131</v>
      </c>
      <c r="AC5" s="44" t="str">
        <f>"Q"&amp;MID(AB5,2,1)+1&amp;RIGHT(AB4,2)</f>
        <v>Q231</v>
      </c>
      <c r="AD5" s="44" t="str">
        <f>"Q"&amp;MID(AC5,2,1)+1&amp;RIGHT(AB4,2)</f>
        <v>Q331</v>
      </c>
      <c r="AE5" s="44" t="str">
        <f>"Q"&amp;MID(AD5,2,1)+1&amp;RIGHT(AB4,2)</f>
        <v>Q431</v>
      </c>
      <c r="AF5" s="44" t="str">
        <f>"Q1"&amp;RIGHT(AF4,2)</f>
        <v>Q132</v>
      </c>
      <c r="AG5" s="44" t="str">
        <f>"Q"&amp;MID(AF5,2,1)+1&amp;RIGHT(AF4,2)</f>
        <v>Q232</v>
      </c>
      <c r="AH5" s="44" t="str">
        <f>"Q"&amp;MID(AG5,2,1)+1&amp;RIGHT(AF4,2)</f>
        <v>Q332</v>
      </c>
      <c r="AI5" s="44" t="str">
        <f>"Q"&amp;MID(AH5,2,1)+1&amp;RIGHT(AF4,2)</f>
        <v>Q432</v>
      </c>
      <c r="AJ5" s="45" t="s">
        <v>54</v>
      </c>
      <c r="AK5" s="45" t="s">
        <v>55</v>
      </c>
      <c r="AL5" s="148" t="s">
        <v>56</v>
      </c>
      <c r="AM5" s="148" t="s">
        <v>57</v>
      </c>
      <c r="AN5" s="46" t="s">
        <v>58</v>
      </c>
      <c r="AO5" s="47" t="s">
        <v>59</v>
      </c>
      <c r="AP5" s="48"/>
      <c r="AQ5" s="48"/>
      <c r="AR5" s="48"/>
    </row>
    <row r="6" spans="1:44" x14ac:dyDescent="0.25">
      <c r="A6" s="53" t="str" cm="1">
        <f t="array" aca="1" ref="A6" ca="1">IFERROR(IF(AM6&gt;0,IF(_xlfn.XLOOKUP(F6,INDIRECT(B6),INDIRECT(B6),"NO")="NO","",_xlfn.XLOOKUP($C6,LUT!$B$3:$B$200,LUT!$D$3:$D$200,"")&amp;""),""),"")</f>
        <v>ATG</v>
      </c>
      <c r="B6" s="54" t="s">
        <v>60</v>
      </c>
      <c r="C6" s="56" t="s">
        <v>126</v>
      </c>
      <c r="D6" s="88" t="s">
        <v>127</v>
      </c>
      <c r="E6" s="88" t="s">
        <v>145</v>
      </c>
      <c r="F6" s="55" t="s">
        <v>128</v>
      </c>
      <c r="G6" s="101" t="s">
        <v>65</v>
      </c>
      <c r="H6" s="117"/>
      <c r="I6" s="117"/>
      <c r="J6" s="117"/>
      <c r="K6" s="117"/>
      <c r="L6" s="117">
        <v>1</v>
      </c>
      <c r="M6" s="117">
        <v>1</v>
      </c>
      <c r="N6" s="117">
        <v>1</v>
      </c>
      <c r="O6" s="117">
        <v>1</v>
      </c>
      <c r="P6" s="117">
        <v>1</v>
      </c>
      <c r="Q6" s="117">
        <v>1</v>
      </c>
      <c r="R6" s="117">
        <v>1</v>
      </c>
      <c r="S6" s="117">
        <v>1</v>
      </c>
      <c r="T6" s="117">
        <v>1</v>
      </c>
      <c r="U6" s="117">
        <v>1</v>
      </c>
      <c r="V6" s="117">
        <v>1</v>
      </c>
      <c r="W6" s="117">
        <v>1</v>
      </c>
      <c r="X6" s="117"/>
      <c r="Y6" s="117"/>
      <c r="Z6" s="117"/>
      <c r="AA6" s="117"/>
      <c r="AB6" s="117"/>
      <c r="AC6" s="117"/>
      <c r="AD6" s="117"/>
      <c r="AE6" s="117"/>
      <c r="AF6" s="117"/>
      <c r="AG6" s="117"/>
      <c r="AH6" s="117"/>
      <c r="AI6" s="117"/>
      <c r="AJ6" s="118">
        <f t="shared" ref="AJ6:AJ37" si="0">SUM(H6:AI6)</f>
        <v>12</v>
      </c>
      <c r="AK6" s="119">
        <f t="shared" ref="AK6:AK37" si="1">MAX(H6:AI6)</f>
        <v>1</v>
      </c>
      <c r="AL6" s="129">
        <f t="shared" ref="AL6:AL37" si="2">_xlfn.XLOOKUP(E6,Location,labour,0)</f>
        <v>31000</v>
      </c>
      <c r="AM6" s="128">
        <f t="shared" ref="AM6:AM37" si="3">AL6*AJ6</f>
        <v>372000</v>
      </c>
      <c r="AN6" s="50"/>
      <c r="AO6" s="51" t="str">
        <f ca="1">IF($AM6&gt;0,IF(AND($G6&lt;&gt;"",$F6&lt;&gt;"",$A6&lt;&gt;"",$B6&lt;&gt;"",$C6&lt;&gt;""),"","Check"),"")</f>
        <v/>
      </c>
      <c r="AP6" s="21"/>
      <c r="AQ6" s="52"/>
    </row>
    <row r="7" spans="1:44" x14ac:dyDescent="0.25">
      <c r="A7" s="53" t="str" cm="1">
        <f t="array" aca="1" ref="A7" ca="1">IFERROR(IF(AM7&gt;0,IF(_xlfn.XLOOKUP(F7,INDIRECT(B7),INDIRECT(B7),"NO")="NO","",_xlfn.XLOOKUP($C7,LUT!$B$3:$B$200,LUT!$D$3:$D$200,"")&amp;""),""),"")</f>
        <v>ATG</v>
      </c>
      <c r="B7" s="54" t="s">
        <v>60</v>
      </c>
      <c r="C7" s="56" t="s">
        <v>126</v>
      </c>
      <c r="D7" s="88" t="s">
        <v>129</v>
      </c>
      <c r="E7" s="88" t="s">
        <v>145</v>
      </c>
      <c r="F7" s="55" t="s">
        <v>128</v>
      </c>
      <c r="G7" s="101" t="s">
        <v>65</v>
      </c>
      <c r="H7" s="117"/>
      <c r="I7" s="117"/>
      <c r="J7" s="117"/>
      <c r="K7" s="117"/>
      <c r="L7" s="117">
        <v>1</v>
      </c>
      <c r="M7" s="117">
        <v>1</v>
      </c>
      <c r="N7" s="117">
        <v>1</v>
      </c>
      <c r="O7" s="117">
        <v>1</v>
      </c>
      <c r="P7" s="117">
        <v>1</v>
      </c>
      <c r="Q7" s="117">
        <v>1</v>
      </c>
      <c r="R7" s="117">
        <v>1</v>
      </c>
      <c r="S7" s="117">
        <v>1</v>
      </c>
      <c r="T7" s="117">
        <v>1</v>
      </c>
      <c r="U7" s="117">
        <v>1</v>
      </c>
      <c r="V7" s="117">
        <v>1</v>
      </c>
      <c r="W7" s="117">
        <v>1</v>
      </c>
      <c r="X7" s="117"/>
      <c r="Y7" s="117"/>
      <c r="Z7" s="117"/>
      <c r="AA7" s="117"/>
      <c r="AB7" s="117"/>
      <c r="AC7" s="117"/>
      <c r="AD7" s="117"/>
      <c r="AE7" s="117"/>
      <c r="AF7" s="117"/>
      <c r="AG7" s="117"/>
      <c r="AH7" s="117"/>
      <c r="AI7" s="117"/>
      <c r="AJ7" s="118">
        <f t="shared" si="0"/>
        <v>12</v>
      </c>
      <c r="AK7" s="119">
        <f t="shared" si="1"/>
        <v>1</v>
      </c>
      <c r="AL7" s="129">
        <f t="shared" si="2"/>
        <v>31000</v>
      </c>
      <c r="AM7" s="128">
        <f t="shared" si="3"/>
        <v>372000</v>
      </c>
      <c r="AN7" s="50"/>
      <c r="AO7" s="51" t="str">
        <f ca="1">IF($AM7&gt;0,IF(AND($G7&lt;&gt;"",$F7&lt;&gt;"",$A7&lt;&gt;"",$B7&lt;&gt;"",$C7&lt;&gt;""),"","Check"),"")</f>
        <v/>
      </c>
      <c r="AP7" s="21"/>
      <c r="AQ7" s="52"/>
    </row>
    <row r="8" spans="1:44" x14ac:dyDescent="0.25">
      <c r="A8" s="53" t="str" cm="1">
        <f t="array" aca="1" ref="A8" ca="1">IFERROR(IF(AM8&gt;0,IF(_xlfn.XLOOKUP(F8,INDIRECT(B8),INDIRECT(B8),"NO")="NO","",_xlfn.XLOOKUP($C8,LUT!$B$3:$B$200,LUT!$D$3:$D$200,"")&amp;""),""),"")</f>
        <v>ATG</v>
      </c>
      <c r="B8" s="54" t="s">
        <v>60</v>
      </c>
      <c r="C8" s="56" t="s">
        <v>126</v>
      </c>
      <c r="D8" s="88" t="s">
        <v>130</v>
      </c>
      <c r="E8" s="88" t="s">
        <v>145</v>
      </c>
      <c r="F8" s="55" t="s">
        <v>128</v>
      </c>
      <c r="G8" s="101" t="s">
        <v>65</v>
      </c>
      <c r="H8" s="117"/>
      <c r="I8" s="117"/>
      <c r="J8" s="117"/>
      <c r="K8" s="117"/>
      <c r="L8" s="117"/>
      <c r="M8" s="117">
        <v>2</v>
      </c>
      <c r="N8" s="117">
        <v>4</v>
      </c>
      <c r="O8" s="117">
        <v>4</v>
      </c>
      <c r="P8" s="117">
        <v>4</v>
      </c>
      <c r="Q8" s="117">
        <v>4</v>
      </c>
      <c r="R8" s="117">
        <v>4</v>
      </c>
      <c r="S8" s="117">
        <v>4</v>
      </c>
      <c r="T8" s="117">
        <v>4</v>
      </c>
      <c r="U8" s="117">
        <v>4</v>
      </c>
      <c r="V8" s="117">
        <v>4</v>
      </c>
      <c r="W8" s="117">
        <v>2</v>
      </c>
      <c r="X8" s="117"/>
      <c r="Y8" s="117"/>
      <c r="Z8" s="117"/>
      <c r="AA8" s="117"/>
      <c r="AB8" s="117"/>
      <c r="AC8" s="117"/>
      <c r="AD8" s="117"/>
      <c r="AE8" s="117"/>
      <c r="AF8" s="117"/>
      <c r="AG8" s="117"/>
      <c r="AH8" s="117"/>
      <c r="AI8" s="117"/>
      <c r="AJ8" s="118">
        <f t="shared" si="0"/>
        <v>40</v>
      </c>
      <c r="AK8" s="119">
        <f t="shared" si="1"/>
        <v>4</v>
      </c>
      <c r="AL8" s="129">
        <f t="shared" si="2"/>
        <v>31000</v>
      </c>
      <c r="AM8" s="128">
        <f t="shared" si="3"/>
        <v>1240000</v>
      </c>
      <c r="AN8" s="50"/>
      <c r="AO8" s="51" t="str">
        <f ca="1">IF($AM8&gt;0,IF(AND($G8&lt;&gt;"",$F8&lt;&gt;"",$A8&lt;&gt;"",$B8&lt;&gt;"",$C8&lt;&gt;""),"","Check"),"")</f>
        <v/>
      </c>
      <c r="AP8" s="21"/>
      <c r="AQ8" s="52"/>
    </row>
    <row r="9" spans="1:44" x14ac:dyDescent="0.25">
      <c r="A9" s="53" t="str" cm="1">
        <f t="array" aca="1" ref="A9" ca="1">IFERROR(IF(AM9&gt;0,IF(_xlfn.XLOOKUP(F9,INDIRECT(B9),INDIRECT(B9),"NO")="NO","",_xlfn.XLOOKUP($C9,LUT!$B$3:$B$200,LUT!$D$3:$D$200,"")&amp;""),""),"")</f>
        <v>ATG</v>
      </c>
      <c r="B9" s="54" t="s">
        <v>60</v>
      </c>
      <c r="C9" s="56" t="s">
        <v>126</v>
      </c>
      <c r="D9" s="88" t="s">
        <v>131</v>
      </c>
      <c r="E9" s="88" t="s">
        <v>145</v>
      </c>
      <c r="F9" s="55" t="s">
        <v>128</v>
      </c>
      <c r="G9" s="101" t="s">
        <v>65</v>
      </c>
      <c r="H9" s="117"/>
      <c r="I9" s="117"/>
      <c r="J9" s="117"/>
      <c r="K9" s="117"/>
      <c r="L9" s="117">
        <v>1</v>
      </c>
      <c r="M9" s="117">
        <v>1</v>
      </c>
      <c r="N9" s="117">
        <v>2</v>
      </c>
      <c r="O9" s="117">
        <v>2</v>
      </c>
      <c r="P9" s="117">
        <v>2</v>
      </c>
      <c r="Q9" s="117">
        <v>4</v>
      </c>
      <c r="R9" s="117">
        <v>4</v>
      </c>
      <c r="S9" s="117">
        <v>4</v>
      </c>
      <c r="T9" s="117">
        <v>4</v>
      </c>
      <c r="U9" s="117">
        <v>3</v>
      </c>
      <c r="V9" s="117">
        <v>2</v>
      </c>
      <c r="W9" s="117">
        <v>2</v>
      </c>
      <c r="X9" s="117"/>
      <c r="Y9" s="117"/>
      <c r="Z9" s="117"/>
      <c r="AA9" s="117"/>
      <c r="AB9" s="117"/>
      <c r="AC9" s="117"/>
      <c r="AD9" s="117"/>
      <c r="AE9" s="117"/>
      <c r="AF9" s="117"/>
      <c r="AG9" s="117"/>
      <c r="AH9" s="117"/>
      <c r="AI9" s="117"/>
      <c r="AJ9" s="118">
        <f t="shared" si="0"/>
        <v>31</v>
      </c>
      <c r="AK9" s="119">
        <f t="shared" si="1"/>
        <v>4</v>
      </c>
      <c r="AL9" s="129">
        <f t="shared" si="2"/>
        <v>31000</v>
      </c>
      <c r="AM9" s="128">
        <f t="shared" si="3"/>
        <v>961000</v>
      </c>
      <c r="AN9" s="50"/>
      <c r="AO9" s="51"/>
      <c r="AP9" s="21"/>
      <c r="AQ9" s="52"/>
    </row>
    <row r="10" spans="1:44" x14ac:dyDescent="0.25">
      <c r="A10" s="53" t="str" cm="1">
        <f t="array" aca="1" ref="A10" ca="1">IFERROR(IF(AM10&gt;0,IF(_xlfn.XLOOKUP(F10,INDIRECT(B10),INDIRECT(B10),"NO")="NO","",_xlfn.XLOOKUP($C10,LUT!$B$3:$B$200,LUT!$D$3:$D$200,"")&amp;""),""),"")</f>
        <v>ATG</v>
      </c>
      <c r="B10" s="54" t="s">
        <v>60</v>
      </c>
      <c r="C10" s="56" t="s">
        <v>126</v>
      </c>
      <c r="D10" s="88" t="s">
        <v>132</v>
      </c>
      <c r="E10" s="88" t="s">
        <v>145</v>
      </c>
      <c r="F10" s="55" t="s">
        <v>128</v>
      </c>
      <c r="G10" s="101" t="s">
        <v>65</v>
      </c>
      <c r="H10" s="117"/>
      <c r="I10" s="117"/>
      <c r="J10" s="117"/>
      <c r="K10" s="117"/>
      <c r="L10" s="117">
        <v>1</v>
      </c>
      <c r="M10" s="117">
        <v>1</v>
      </c>
      <c r="N10" s="117">
        <v>2</v>
      </c>
      <c r="O10" s="117">
        <v>2</v>
      </c>
      <c r="P10" s="117">
        <v>2</v>
      </c>
      <c r="Q10" s="117">
        <v>3</v>
      </c>
      <c r="R10" s="117">
        <v>3</v>
      </c>
      <c r="S10" s="117">
        <v>3</v>
      </c>
      <c r="T10" s="117">
        <v>3</v>
      </c>
      <c r="U10" s="117">
        <v>3</v>
      </c>
      <c r="V10" s="117">
        <v>2</v>
      </c>
      <c r="W10" s="117">
        <v>2</v>
      </c>
      <c r="X10" s="117"/>
      <c r="Y10" s="117"/>
      <c r="Z10" s="117"/>
      <c r="AA10" s="117"/>
      <c r="AB10" s="117"/>
      <c r="AC10" s="117"/>
      <c r="AD10" s="117"/>
      <c r="AE10" s="117"/>
      <c r="AF10" s="117"/>
      <c r="AG10" s="117"/>
      <c r="AH10" s="117"/>
      <c r="AI10" s="117"/>
      <c r="AJ10" s="118">
        <f t="shared" si="0"/>
        <v>27</v>
      </c>
      <c r="AK10" s="119">
        <f t="shared" si="1"/>
        <v>3</v>
      </c>
      <c r="AL10" s="129">
        <f t="shared" si="2"/>
        <v>31000</v>
      </c>
      <c r="AM10" s="128">
        <f t="shared" si="3"/>
        <v>837000</v>
      </c>
      <c r="AN10" s="50"/>
      <c r="AO10" s="51"/>
      <c r="AP10" s="21"/>
      <c r="AQ10" s="52"/>
    </row>
    <row r="11" spans="1:44" x14ac:dyDescent="0.25">
      <c r="A11" s="53" t="str" cm="1">
        <f t="array" aca="1" ref="A11" ca="1">IFERROR(IF(AM11&gt;0,IF(_xlfn.XLOOKUP(F11,INDIRECT(B11),INDIRECT(B11),"NO")="NO","",_xlfn.XLOOKUP($C11,LUT!$B$3:$B$200,LUT!$D$3:$D$200,"")&amp;""),""),"")</f>
        <v>ATG</v>
      </c>
      <c r="B11" s="54" t="s">
        <v>60</v>
      </c>
      <c r="C11" s="56" t="s">
        <v>126</v>
      </c>
      <c r="D11" s="88" t="s">
        <v>133</v>
      </c>
      <c r="E11" s="88" t="s">
        <v>145</v>
      </c>
      <c r="F11" s="55" t="s">
        <v>128</v>
      </c>
      <c r="G11" s="101" t="s">
        <v>65</v>
      </c>
      <c r="H11" s="117"/>
      <c r="I11" s="117"/>
      <c r="J11" s="117"/>
      <c r="K11" s="117"/>
      <c r="L11" s="117"/>
      <c r="M11" s="117">
        <v>1</v>
      </c>
      <c r="N11" s="117">
        <v>1</v>
      </c>
      <c r="O11" s="117">
        <v>2</v>
      </c>
      <c r="P11" s="117">
        <v>2</v>
      </c>
      <c r="Q11" s="117">
        <v>2</v>
      </c>
      <c r="R11" s="117">
        <v>2</v>
      </c>
      <c r="S11" s="117">
        <v>2</v>
      </c>
      <c r="T11" s="117">
        <v>2</v>
      </c>
      <c r="U11" s="117">
        <v>2</v>
      </c>
      <c r="V11" s="117">
        <v>2</v>
      </c>
      <c r="W11" s="117">
        <v>1</v>
      </c>
      <c r="X11" s="117"/>
      <c r="Y11" s="117"/>
      <c r="Z11" s="117"/>
      <c r="AA11" s="117"/>
      <c r="AB11" s="117"/>
      <c r="AC11" s="117"/>
      <c r="AD11" s="117"/>
      <c r="AE11" s="117"/>
      <c r="AF11" s="117"/>
      <c r="AG11" s="117"/>
      <c r="AH11" s="117"/>
      <c r="AI11" s="117"/>
      <c r="AJ11" s="118">
        <f t="shared" si="0"/>
        <v>19</v>
      </c>
      <c r="AK11" s="119">
        <f t="shared" si="1"/>
        <v>2</v>
      </c>
      <c r="AL11" s="129">
        <f t="shared" si="2"/>
        <v>31000</v>
      </c>
      <c r="AM11" s="128">
        <f t="shared" si="3"/>
        <v>589000</v>
      </c>
      <c r="AN11" s="50"/>
      <c r="AO11" s="51"/>
      <c r="AP11" s="21"/>
      <c r="AQ11" s="52"/>
    </row>
    <row r="12" spans="1:44" x14ac:dyDescent="0.25">
      <c r="A12" s="53" t="str" cm="1">
        <f t="array" aca="1" ref="A12" ca="1">IFERROR(IF(AM12&gt;0,IF(_xlfn.XLOOKUP(F12,INDIRECT(B12),INDIRECT(B12),"NO")="NO","",_xlfn.XLOOKUP($C12,LUT!$B$3:$B$200,LUT!$D$3:$D$200,"")&amp;""),""),"")</f>
        <v>ATG</v>
      </c>
      <c r="B12" s="54" t="s">
        <v>60</v>
      </c>
      <c r="C12" s="56" t="s">
        <v>126</v>
      </c>
      <c r="D12" s="88" t="s">
        <v>134</v>
      </c>
      <c r="E12" s="88" t="s">
        <v>145</v>
      </c>
      <c r="F12" s="55" t="s">
        <v>128</v>
      </c>
      <c r="G12" s="101" t="s">
        <v>65</v>
      </c>
      <c r="H12" s="117"/>
      <c r="I12" s="117"/>
      <c r="J12" s="117"/>
      <c r="K12" s="117"/>
      <c r="L12" s="117"/>
      <c r="M12" s="117">
        <v>1</v>
      </c>
      <c r="N12" s="117">
        <v>1</v>
      </c>
      <c r="O12" s="117">
        <v>2</v>
      </c>
      <c r="P12" s="117">
        <v>2</v>
      </c>
      <c r="Q12" s="117">
        <v>2</v>
      </c>
      <c r="R12" s="117">
        <v>2</v>
      </c>
      <c r="S12" s="117">
        <v>2</v>
      </c>
      <c r="T12" s="117">
        <v>2</v>
      </c>
      <c r="U12" s="117">
        <v>2</v>
      </c>
      <c r="V12" s="117">
        <v>2</v>
      </c>
      <c r="W12" s="117">
        <v>1</v>
      </c>
      <c r="X12" s="117"/>
      <c r="Y12" s="117"/>
      <c r="Z12" s="117"/>
      <c r="AA12" s="117"/>
      <c r="AB12" s="117"/>
      <c r="AC12" s="117"/>
      <c r="AD12" s="117"/>
      <c r="AE12" s="117"/>
      <c r="AF12" s="117"/>
      <c r="AG12" s="117"/>
      <c r="AH12" s="117"/>
      <c r="AI12" s="117"/>
      <c r="AJ12" s="118">
        <f t="shared" si="0"/>
        <v>19</v>
      </c>
      <c r="AK12" s="119">
        <f t="shared" si="1"/>
        <v>2</v>
      </c>
      <c r="AL12" s="129">
        <f t="shared" si="2"/>
        <v>31000</v>
      </c>
      <c r="AM12" s="128">
        <f t="shared" si="3"/>
        <v>589000</v>
      </c>
      <c r="AN12" s="50"/>
      <c r="AO12" s="51"/>
      <c r="AP12" s="21"/>
      <c r="AQ12" s="52"/>
    </row>
    <row r="13" spans="1:44" x14ac:dyDescent="0.25">
      <c r="A13" s="53" t="str" cm="1">
        <f t="array" aca="1" ref="A13" ca="1">IFERROR(IF(AM13&gt;0,IF(_xlfn.XLOOKUP(F13,INDIRECT(B13),INDIRECT(B13),"NO")="NO","",_xlfn.XLOOKUP($C13,LUT!$B$3:$B$200,LUT!$D$3:$D$200,"")&amp;""),""),"")</f>
        <v>ATG</v>
      </c>
      <c r="B13" s="54" t="s">
        <v>60</v>
      </c>
      <c r="C13" s="56" t="s">
        <v>126</v>
      </c>
      <c r="D13" s="88" t="s">
        <v>135</v>
      </c>
      <c r="E13" s="88" t="s">
        <v>145</v>
      </c>
      <c r="F13" s="55" t="s">
        <v>128</v>
      </c>
      <c r="G13" s="101" t="s">
        <v>65</v>
      </c>
      <c r="H13" s="117"/>
      <c r="I13" s="117"/>
      <c r="J13" s="117"/>
      <c r="K13" s="117"/>
      <c r="L13" s="117">
        <v>1</v>
      </c>
      <c r="M13" s="117">
        <v>2</v>
      </c>
      <c r="N13" s="117">
        <v>4</v>
      </c>
      <c r="O13" s="117">
        <v>6</v>
      </c>
      <c r="P13" s="117">
        <v>4</v>
      </c>
      <c r="Q13" s="117">
        <v>8</v>
      </c>
      <c r="R13" s="117">
        <v>8</v>
      </c>
      <c r="S13" s="117">
        <v>8</v>
      </c>
      <c r="T13" s="117">
        <v>8</v>
      </c>
      <c r="U13" s="117">
        <v>6</v>
      </c>
      <c r="V13" s="117">
        <v>6</v>
      </c>
      <c r="W13" s="117">
        <v>4</v>
      </c>
      <c r="X13" s="117"/>
      <c r="Y13" s="117"/>
      <c r="Z13" s="117"/>
      <c r="AA13" s="117"/>
      <c r="AB13" s="117"/>
      <c r="AC13" s="117"/>
      <c r="AD13" s="117"/>
      <c r="AE13" s="117"/>
      <c r="AF13" s="117"/>
      <c r="AG13" s="117"/>
      <c r="AH13" s="117"/>
      <c r="AI13" s="117"/>
      <c r="AJ13" s="118">
        <f t="shared" si="0"/>
        <v>65</v>
      </c>
      <c r="AK13" s="119">
        <f t="shared" si="1"/>
        <v>8</v>
      </c>
      <c r="AL13" s="129">
        <f t="shared" si="2"/>
        <v>31000</v>
      </c>
      <c r="AM13" s="128">
        <f t="shared" si="3"/>
        <v>2015000</v>
      </c>
      <c r="AN13" s="50"/>
      <c r="AO13" s="51"/>
      <c r="AP13" s="21"/>
      <c r="AQ13" s="52"/>
    </row>
    <row r="14" spans="1:44" x14ac:dyDescent="0.25">
      <c r="A14" s="53" t="str" cm="1">
        <f t="array" aca="1" ref="A14" ca="1">IFERROR(IF(AM14&gt;0,IF(_xlfn.XLOOKUP(F14,INDIRECT(B14),INDIRECT(B14),"NO")="NO","",_xlfn.XLOOKUP($C14,LUT!$B$3:$B$200,LUT!$D$3:$D$200,"")&amp;""),""),"")</f>
        <v>ATG</v>
      </c>
      <c r="B14" s="54" t="s">
        <v>60</v>
      </c>
      <c r="C14" s="56" t="s">
        <v>126</v>
      </c>
      <c r="D14" s="88" t="s">
        <v>136</v>
      </c>
      <c r="E14" s="88" t="s">
        <v>145</v>
      </c>
      <c r="F14" s="55" t="s">
        <v>128</v>
      </c>
      <c r="G14" s="101" t="s">
        <v>65</v>
      </c>
      <c r="H14" s="117"/>
      <c r="I14" s="117"/>
      <c r="J14" s="117"/>
      <c r="K14" s="117"/>
      <c r="L14" s="117">
        <v>1</v>
      </c>
      <c r="M14" s="117">
        <v>2</v>
      </c>
      <c r="N14" s="117">
        <v>2</v>
      </c>
      <c r="O14" s="117">
        <v>2</v>
      </c>
      <c r="P14" s="117">
        <v>4</v>
      </c>
      <c r="Q14" s="117">
        <v>4</v>
      </c>
      <c r="R14" s="117">
        <v>4</v>
      </c>
      <c r="S14" s="117">
        <v>4</v>
      </c>
      <c r="T14" s="117">
        <v>4</v>
      </c>
      <c r="U14" s="117">
        <v>4</v>
      </c>
      <c r="V14" s="117">
        <v>2</v>
      </c>
      <c r="W14" s="117">
        <v>2</v>
      </c>
      <c r="X14" s="117"/>
      <c r="Y14" s="117"/>
      <c r="Z14" s="117"/>
      <c r="AA14" s="117"/>
      <c r="AB14" s="117"/>
      <c r="AC14" s="117"/>
      <c r="AD14" s="117"/>
      <c r="AE14" s="117"/>
      <c r="AF14" s="117"/>
      <c r="AG14" s="117"/>
      <c r="AH14" s="117"/>
      <c r="AI14" s="117"/>
      <c r="AJ14" s="118">
        <f t="shared" si="0"/>
        <v>35</v>
      </c>
      <c r="AK14" s="119">
        <f t="shared" si="1"/>
        <v>4</v>
      </c>
      <c r="AL14" s="129">
        <f t="shared" si="2"/>
        <v>31000</v>
      </c>
      <c r="AM14" s="128">
        <f t="shared" si="3"/>
        <v>1085000</v>
      </c>
      <c r="AN14" s="50"/>
      <c r="AO14" s="51"/>
      <c r="AP14" s="21"/>
      <c r="AQ14" s="52"/>
    </row>
    <row r="15" spans="1:44" x14ac:dyDescent="0.25">
      <c r="A15" s="53" t="str" cm="1">
        <f t="array" aca="1" ref="A15" ca="1">IFERROR(IF(AM15&gt;0,IF(_xlfn.XLOOKUP(F15,INDIRECT(B15),INDIRECT(B15),"NO")="NO","",_xlfn.XLOOKUP($C15,LUT!$B$3:$B$200,LUT!$D$3:$D$200,"")&amp;""),""),"")</f>
        <v>ATG</v>
      </c>
      <c r="B15" s="54" t="s">
        <v>60</v>
      </c>
      <c r="C15" s="56" t="s">
        <v>126</v>
      </c>
      <c r="D15" s="88" t="s">
        <v>137</v>
      </c>
      <c r="E15" s="88" t="s">
        <v>145</v>
      </c>
      <c r="F15" s="55" t="s">
        <v>128</v>
      </c>
      <c r="G15" s="101" t="s">
        <v>65</v>
      </c>
      <c r="H15" s="117"/>
      <c r="I15" s="117"/>
      <c r="J15" s="117"/>
      <c r="K15" s="117"/>
      <c r="L15" s="117">
        <v>1</v>
      </c>
      <c r="M15" s="117">
        <v>1</v>
      </c>
      <c r="N15" s="117">
        <v>1</v>
      </c>
      <c r="O15" s="117">
        <v>1</v>
      </c>
      <c r="P15" s="117">
        <v>1</v>
      </c>
      <c r="Q15" s="117">
        <v>1</v>
      </c>
      <c r="R15" s="117">
        <v>1</v>
      </c>
      <c r="S15" s="117">
        <v>1</v>
      </c>
      <c r="T15" s="117">
        <v>1</v>
      </c>
      <c r="U15" s="117">
        <v>1</v>
      </c>
      <c r="V15" s="117">
        <v>1</v>
      </c>
      <c r="W15" s="117">
        <v>1</v>
      </c>
      <c r="X15" s="117"/>
      <c r="Y15" s="117"/>
      <c r="Z15" s="117"/>
      <c r="AA15" s="117"/>
      <c r="AB15" s="117"/>
      <c r="AC15" s="117"/>
      <c r="AD15" s="117"/>
      <c r="AE15" s="117"/>
      <c r="AF15" s="117"/>
      <c r="AG15" s="117"/>
      <c r="AH15" s="117"/>
      <c r="AI15" s="117"/>
      <c r="AJ15" s="118">
        <f t="shared" si="0"/>
        <v>12</v>
      </c>
      <c r="AK15" s="119">
        <f t="shared" si="1"/>
        <v>1</v>
      </c>
      <c r="AL15" s="129">
        <f t="shared" si="2"/>
        <v>31000</v>
      </c>
      <c r="AM15" s="128">
        <f t="shared" si="3"/>
        <v>372000</v>
      </c>
      <c r="AN15" s="50"/>
      <c r="AO15" s="51" t="str">
        <f ca="1">IF($AM15&gt;0,IF(AND($G15&lt;&gt;"",$F15&lt;&gt;"",$A15&lt;&gt;"",$B15&lt;&gt;"",$C15&lt;&gt;""),"","Check"),"")</f>
        <v/>
      </c>
      <c r="AP15" s="21"/>
      <c r="AQ15" s="52"/>
    </row>
    <row r="16" spans="1:44" x14ac:dyDescent="0.25">
      <c r="A16" s="53" t="str" cm="1">
        <f t="array" aca="1" ref="A16" ca="1">IFERROR(IF(AM16&gt;0,IF(_xlfn.XLOOKUP(F16,INDIRECT(B16),INDIRECT(B16),"NO")="NO","",_xlfn.XLOOKUP($C16,LUT!$B$3:$B$200,LUT!$D$3:$D$200,"")&amp;""),""),"")</f>
        <v>ATG</v>
      </c>
      <c r="B16" s="54" t="s">
        <v>60</v>
      </c>
      <c r="C16" s="56" t="s">
        <v>126</v>
      </c>
      <c r="D16" s="88" t="s">
        <v>138</v>
      </c>
      <c r="E16" s="88" t="s">
        <v>145</v>
      </c>
      <c r="F16" s="55" t="s">
        <v>128</v>
      </c>
      <c r="G16" s="101" t="s">
        <v>65</v>
      </c>
      <c r="H16" s="117"/>
      <c r="I16" s="117"/>
      <c r="J16" s="117"/>
      <c r="K16" s="117">
        <v>1</v>
      </c>
      <c r="L16" s="117">
        <v>2</v>
      </c>
      <c r="M16" s="117">
        <v>3</v>
      </c>
      <c r="N16" s="117">
        <v>3</v>
      </c>
      <c r="O16" s="117">
        <v>3</v>
      </c>
      <c r="P16" s="117">
        <v>3</v>
      </c>
      <c r="Q16" s="117">
        <v>5</v>
      </c>
      <c r="R16" s="117">
        <v>5</v>
      </c>
      <c r="S16" s="117">
        <v>5</v>
      </c>
      <c r="T16" s="117">
        <v>5</v>
      </c>
      <c r="U16" s="117">
        <v>3</v>
      </c>
      <c r="V16" s="117">
        <v>3</v>
      </c>
      <c r="W16" s="117">
        <v>3</v>
      </c>
      <c r="X16" s="117"/>
      <c r="Y16" s="117"/>
      <c r="Z16" s="117"/>
      <c r="AA16" s="117"/>
      <c r="AB16" s="117"/>
      <c r="AC16" s="117"/>
      <c r="AD16" s="117"/>
      <c r="AE16" s="117"/>
      <c r="AF16" s="117"/>
      <c r="AG16" s="117"/>
      <c r="AH16" s="117"/>
      <c r="AI16" s="117"/>
      <c r="AJ16" s="118">
        <f t="shared" si="0"/>
        <v>44</v>
      </c>
      <c r="AK16" s="119">
        <f t="shared" si="1"/>
        <v>5</v>
      </c>
      <c r="AL16" s="129">
        <f t="shared" si="2"/>
        <v>31000</v>
      </c>
      <c r="AM16" s="128">
        <f t="shared" si="3"/>
        <v>1364000</v>
      </c>
      <c r="AN16" s="50"/>
      <c r="AO16" s="51" t="str">
        <f ca="1">IF($AM16&gt;0,IF(AND($G16&lt;&gt;"",$F16&lt;&gt;"",$A16&lt;&gt;"",$B16&lt;&gt;"",$C16&lt;&gt;""),"","Check"),"")</f>
        <v/>
      </c>
      <c r="AP16" s="21"/>
      <c r="AQ16" s="52"/>
    </row>
    <row r="17" spans="1:43" x14ac:dyDescent="0.25">
      <c r="A17" s="53" t="str" cm="1">
        <f t="array" aca="1" ref="A17" ca="1">IFERROR(IF(AM17&gt;0,IF(_xlfn.XLOOKUP(F17,INDIRECT(B17),INDIRECT(B17),"NO")="NO","",_xlfn.XLOOKUP($C17,LUT!$B$3:$B$200,LUT!$D$3:$D$200,"")&amp;""),""),"")</f>
        <v>PFO</v>
      </c>
      <c r="B17" s="54" t="s">
        <v>60</v>
      </c>
      <c r="C17" s="56" t="s">
        <v>61</v>
      </c>
      <c r="D17" s="88" t="s">
        <v>62</v>
      </c>
      <c r="E17" s="88" t="s">
        <v>63</v>
      </c>
      <c r="F17" s="55" t="s">
        <v>64</v>
      </c>
      <c r="G17" s="101" t="s">
        <v>65</v>
      </c>
      <c r="H17" s="117"/>
      <c r="I17" s="117"/>
      <c r="J17" s="117">
        <v>1</v>
      </c>
      <c r="K17" s="117">
        <v>1</v>
      </c>
      <c r="L17" s="117">
        <v>1</v>
      </c>
      <c r="M17" s="117">
        <v>1</v>
      </c>
      <c r="N17" s="117">
        <v>1</v>
      </c>
      <c r="O17" s="117">
        <v>1</v>
      </c>
      <c r="P17" s="117">
        <v>1</v>
      </c>
      <c r="Q17" s="117">
        <v>1</v>
      </c>
      <c r="R17" s="117">
        <v>1</v>
      </c>
      <c r="S17" s="117"/>
      <c r="T17" s="117"/>
      <c r="U17" s="117"/>
      <c r="V17" s="117"/>
      <c r="W17" s="117"/>
      <c r="X17" s="117"/>
      <c r="Y17" s="117"/>
      <c r="Z17" s="117"/>
      <c r="AA17" s="117"/>
      <c r="AB17" s="117"/>
      <c r="AC17" s="117"/>
      <c r="AD17" s="117"/>
      <c r="AE17" s="117"/>
      <c r="AF17" s="117"/>
      <c r="AG17" s="117"/>
      <c r="AH17" s="117"/>
      <c r="AI17" s="117"/>
      <c r="AJ17" s="118">
        <f t="shared" si="0"/>
        <v>9</v>
      </c>
      <c r="AK17" s="119">
        <f t="shared" si="1"/>
        <v>1</v>
      </c>
      <c r="AL17" s="129">
        <f t="shared" si="2"/>
        <v>30138.249515086281</v>
      </c>
      <c r="AM17" s="128">
        <f t="shared" si="3"/>
        <v>271244.24563577655</v>
      </c>
      <c r="AN17" s="50"/>
      <c r="AO17" s="51"/>
      <c r="AP17" s="21"/>
      <c r="AQ17" s="52"/>
    </row>
    <row r="18" spans="1:43" x14ac:dyDescent="0.25">
      <c r="A18" s="53" t="str" cm="1">
        <f t="array" aca="1" ref="A18" ca="1">IFERROR(IF(AM18&gt;0,IF(_xlfn.XLOOKUP(F18,INDIRECT(B18),INDIRECT(B18),"NO")="NO","",_xlfn.XLOOKUP($C18,LUT!$B$3:$B$200,LUT!$D$3:$D$200,"")&amp;""),""),"")</f>
        <v>PFO</v>
      </c>
      <c r="B18" s="54" t="s">
        <v>60</v>
      </c>
      <c r="C18" s="56" t="s">
        <v>66</v>
      </c>
      <c r="D18" s="88" t="s">
        <v>67</v>
      </c>
      <c r="E18" s="88" t="s">
        <v>63</v>
      </c>
      <c r="F18" s="55" t="s">
        <v>68</v>
      </c>
      <c r="G18" s="101" t="s">
        <v>65</v>
      </c>
      <c r="H18" s="117"/>
      <c r="I18" s="117"/>
      <c r="J18" s="117"/>
      <c r="K18" s="117"/>
      <c r="L18" s="117">
        <v>1</v>
      </c>
      <c r="M18" s="117">
        <v>1</v>
      </c>
      <c r="N18" s="117">
        <v>1</v>
      </c>
      <c r="O18" s="117">
        <v>1</v>
      </c>
      <c r="P18" s="117">
        <v>1</v>
      </c>
      <c r="Q18" s="117">
        <v>1</v>
      </c>
      <c r="R18" s="117">
        <v>1</v>
      </c>
      <c r="S18" s="117"/>
      <c r="T18" s="117"/>
      <c r="U18" s="117"/>
      <c r="V18" s="117"/>
      <c r="W18" s="117"/>
      <c r="X18" s="117"/>
      <c r="Y18" s="117"/>
      <c r="Z18" s="117"/>
      <c r="AA18" s="117"/>
      <c r="AB18" s="117"/>
      <c r="AC18" s="117"/>
      <c r="AD18" s="117"/>
      <c r="AE18" s="117"/>
      <c r="AF18" s="117"/>
      <c r="AG18" s="117"/>
      <c r="AH18" s="117"/>
      <c r="AI18" s="117"/>
      <c r="AJ18" s="118">
        <f t="shared" si="0"/>
        <v>7</v>
      </c>
      <c r="AK18" s="119">
        <f t="shared" si="1"/>
        <v>1</v>
      </c>
      <c r="AL18" s="129">
        <f t="shared" si="2"/>
        <v>30138.249515086281</v>
      </c>
      <c r="AM18" s="128">
        <f t="shared" si="3"/>
        <v>210967.74660560396</v>
      </c>
      <c r="AN18" s="50"/>
      <c r="AO18" s="51"/>
      <c r="AP18" s="21"/>
      <c r="AQ18" s="52"/>
    </row>
    <row r="19" spans="1:43" x14ac:dyDescent="0.25">
      <c r="A19" s="53" t="str" cm="1">
        <f t="array" aca="1" ref="A19" ca="1">IFERROR(IF(AM19&gt;0,IF(_xlfn.XLOOKUP(F19,INDIRECT(B19),INDIRECT(B19),"NO")="NO","",_xlfn.XLOOKUP($C19,LUT!$B$3:$B$200,LUT!$D$3:$D$200,"")&amp;""),""),"")</f>
        <v>PFO</v>
      </c>
      <c r="B19" s="54" t="s">
        <v>60</v>
      </c>
      <c r="C19" s="56" t="s">
        <v>66</v>
      </c>
      <c r="D19" s="177" t="s">
        <v>69</v>
      </c>
      <c r="E19" s="88" t="s">
        <v>63</v>
      </c>
      <c r="F19" s="55" t="s">
        <v>68</v>
      </c>
      <c r="G19" s="101" t="s">
        <v>65</v>
      </c>
      <c r="H19" s="117"/>
      <c r="I19" s="117"/>
      <c r="J19" s="117"/>
      <c r="K19" s="117"/>
      <c r="L19" s="117">
        <v>1</v>
      </c>
      <c r="M19" s="117">
        <v>2</v>
      </c>
      <c r="N19" s="117">
        <v>2</v>
      </c>
      <c r="O19" s="117">
        <v>2</v>
      </c>
      <c r="P19" s="117">
        <v>2</v>
      </c>
      <c r="Q19" s="117">
        <v>2</v>
      </c>
      <c r="R19" s="117">
        <v>2</v>
      </c>
      <c r="S19" s="117">
        <v>2</v>
      </c>
      <c r="T19" s="117"/>
      <c r="U19" s="117"/>
      <c r="V19" s="117"/>
      <c r="W19" s="117"/>
      <c r="X19" s="117"/>
      <c r="Y19" s="117"/>
      <c r="Z19" s="117"/>
      <c r="AA19" s="117"/>
      <c r="AB19" s="117"/>
      <c r="AC19" s="117"/>
      <c r="AD19" s="117"/>
      <c r="AE19" s="117"/>
      <c r="AF19" s="117"/>
      <c r="AG19" s="117"/>
      <c r="AH19" s="117"/>
      <c r="AI19" s="117"/>
      <c r="AJ19" s="118">
        <f t="shared" si="0"/>
        <v>15</v>
      </c>
      <c r="AK19" s="119">
        <f t="shared" si="1"/>
        <v>2</v>
      </c>
      <c r="AL19" s="129">
        <f t="shared" si="2"/>
        <v>30138.249515086281</v>
      </c>
      <c r="AM19" s="128">
        <f t="shared" si="3"/>
        <v>452073.74272629421</v>
      </c>
      <c r="AN19" s="50"/>
      <c r="AO19" s="51" t="str">
        <f ca="1">IF($AM19&gt;0,IF(AND($G19&lt;&gt;"",$F19&lt;&gt;"",$A19&lt;&gt;"",$B19&lt;&gt;"",$C19&lt;&gt;""),"","Check"),"")</f>
        <v/>
      </c>
      <c r="AP19" s="21"/>
      <c r="AQ19" s="52"/>
    </row>
    <row r="20" spans="1:43" x14ac:dyDescent="0.25">
      <c r="A20" s="53" t="str" cm="1">
        <f t="array" aca="1" ref="A20" ca="1">IFERROR(IF(AM20&gt;0,IF(_xlfn.XLOOKUP(F20,INDIRECT(B20),INDIRECT(B20),"NO")="NO","",_xlfn.XLOOKUP($C20,LUT!$B$3:$B$200,LUT!$D$3:$D$200,"")&amp;""),""),"")</f>
        <v>PlatLinux</v>
      </c>
      <c r="B20" s="54" t="s">
        <v>60</v>
      </c>
      <c r="C20" s="56" t="s">
        <v>139</v>
      </c>
      <c r="D20" s="181" t="s">
        <v>140</v>
      </c>
      <c r="E20" s="88" t="s">
        <v>63</v>
      </c>
      <c r="F20" s="55" t="s">
        <v>141</v>
      </c>
      <c r="G20" s="101" t="s">
        <v>65</v>
      </c>
      <c r="H20" s="117"/>
      <c r="I20" s="117"/>
      <c r="J20" s="117"/>
      <c r="K20" s="117">
        <v>0.1</v>
      </c>
      <c r="L20" s="117">
        <v>0.2</v>
      </c>
      <c r="M20" s="117">
        <v>0.5</v>
      </c>
      <c r="N20" s="117">
        <v>0.5</v>
      </c>
      <c r="O20" s="117">
        <v>1</v>
      </c>
      <c r="P20" s="117">
        <v>5</v>
      </c>
      <c r="Q20" s="117">
        <v>5</v>
      </c>
      <c r="R20" s="117">
        <v>5</v>
      </c>
      <c r="S20" s="117">
        <v>5</v>
      </c>
      <c r="T20" s="117">
        <v>4</v>
      </c>
      <c r="U20" s="117">
        <v>4</v>
      </c>
      <c r="V20" s="117">
        <v>3</v>
      </c>
      <c r="W20" s="117">
        <v>2</v>
      </c>
      <c r="X20" s="117">
        <v>1</v>
      </c>
      <c r="Y20" s="117"/>
      <c r="Z20" s="117"/>
      <c r="AA20" s="117"/>
      <c r="AB20" s="117"/>
      <c r="AC20" s="117"/>
      <c r="AD20" s="117"/>
      <c r="AE20" s="117"/>
      <c r="AF20" s="117"/>
      <c r="AG20" s="117"/>
      <c r="AH20" s="117"/>
      <c r="AI20" s="117"/>
      <c r="AJ20" s="118">
        <f t="shared" si="0"/>
        <v>36.299999999999997</v>
      </c>
      <c r="AK20" s="119">
        <f t="shared" si="1"/>
        <v>5</v>
      </c>
      <c r="AL20" s="129">
        <f t="shared" si="2"/>
        <v>30138.249515086281</v>
      </c>
      <c r="AM20" s="128">
        <f t="shared" si="3"/>
        <v>1094018.4573976318</v>
      </c>
      <c r="AN20" s="50"/>
      <c r="AO20" s="51" t="str">
        <f ca="1">IF($AM20&gt;0,IF(AND($G20&lt;&gt;"",$F20&lt;&gt;"",$A20&lt;&gt;"",$B20&lt;&gt;"",$C20&lt;&gt;""),"","Check"),"")</f>
        <v/>
      </c>
      <c r="AP20" s="21"/>
      <c r="AQ20" s="52"/>
    </row>
    <row r="21" spans="1:43" x14ac:dyDescent="0.25">
      <c r="A21" s="53" t="str" cm="1">
        <f t="array" aca="1" ref="A21" ca="1">IFERROR(IF(AM21&gt;0,IF(_xlfn.XLOOKUP(F21,INDIRECT(B21),INDIRECT(B21),"NO")="NO","",_xlfn.XLOOKUP($C21,LUT!$B$3:$B$200,LUT!$D$3:$D$200,"")&amp;""),""),"")</f>
        <v>PlatLinux</v>
      </c>
      <c r="B21" s="54" t="s">
        <v>60</v>
      </c>
      <c r="C21" s="56" t="s">
        <v>139</v>
      </c>
      <c r="D21" s="88" t="s">
        <v>146</v>
      </c>
      <c r="E21" s="88" t="s">
        <v>81</v>
      </c>
      <c r="F21" s="55" t="s">
        <v>142</v>
      </c>
      <c r="G21" s="101" t="s">
        <v>65</v>
      </c>
      <c r="H21" s="117"/>
      <c r="I21" s="117"/>
      <c r="J21" s="117">
        <v>0.5</v>
      </c>
      <c r="K21" s="117">
        <v>0.5</v>
      </c>
      <c r="L21" s="117">
        <v>0.5</v>
      </c>
      <c r="M21" s="117">
        <v>0.5</v>
      </c>
      <c r="N21" s="117">
        <v>0.5</v>
      </c>
      <c r="O21" s="117">
        <v>0.5</v>
      </c>
      <c r="P21" s="117">
        <v>0.5</v>
      </c>
      <c r="Q21" s="117">
        <v>9</v>
      </c>
      <c r="R21" s="117">
        <v>10</v>
      </c>
      <c r="S21" s="117">
        <v>13</v>
      </c>
      <c r="T21" s="117">
        <v>13</v>
      </c>
      <c r="U21" s="117">
        <v>13</v>
      </c>
      <c r="V21" s="117">
        <v>11</v>
      </c>
      <c r="W21" s="117">
        <v>9</v>
      </c>
      <c r="X21" s="117">
        <v>6</v>
      </c>
      <c r="Y21" s="117"/>
      <c r="Z21" s="117"/>
      <c r="AA21" s="117"/>
      <c r="AB21" s="117"/>
      <c r="AC21" s="117"/>
      <c r="AD21" s="117"/>
      <c r="AE21" s="117"/>
      <c r="AF21" s="117"/>
      <c r="AG21" s="117"/>
      <c r="AH21" s="117"/>
      <c r="AI21" s="117"/>
      <c r="AJ21" s="118">
        <f t="shared" si="0"/>
        <v>87.5</v>
      </c>
      <c r="AK21" s="119">
        <f t="shared" si="1"/>
        <v>13</v>
      </c>
      <c r="AL21" s="129">
        <f t="shared" si="2"/>
        <v>27275.208822115485</v>
      </c>
      <c r="AM21" s="128">
        <f t="shared" si="3"/>
        <v>2386580.7719351049</v>
      </c>
      <c r="AN21" s="50"/>
      <c r="AO21" s="51" t="str">
        <f ca="1">IF($AM21&gt;0,IF(AND($G21&lt;&gt;"",$F21&lt;&gt;"",$A21&lt;&gt;"",$B21&lt;&gt;"",$C21&lt;&gt;""),"","Check"),"")</f>
        <v/>
      </c>
      <c r="AP21" s="21"/>
      <c r="AQ21" s="52"/>
    </row>
    <row r="22" spans="1:43" x14ac:dyDescent="0.25">
      <c r="A22" s="53" t="str" cm="1">
        <f t="array" aca="1" ref="A22" ca="1">IFERROR(IF(AM22&gt;0,IF(_xlfn.XLOOKUP(F22,INDIRECT(B22),INDIRECT(B22),"NO")="NO","",_xlfn.XLOOKUP($C22,LUT!$B$3:$B$200,LUT!$D$3:$D$200,"")&amp;""),""),"")</f>
        <v>PFO</v>
      </c>
      <c r="B22" s="54" t="s">
        <v>60</v>
      </c>
      <c r="C22" s="56" t="s">
        <v>70</v>
      </c>
      <c r="D22" s="176" t="s">
        <v>22</v>
      </c>
      <c r="E22" s="88" t="s">
        <v>63</v>
      </c>
      <c r="F22" s="55" t="s">
        <v>71</v>
      </c>
      <c r="G22" s="101" t="s">
        <v>65</v>
      </c>
      <c r="H22" s="117"/>
      <c r="I22" s="117"/>
      <c r="J22" s="117"/>
      <c r="K22" s="117">
        <v>3</v>
      </c>
      <c r="L22" s="117">
        <v>3</v>
      </c>
      <c r="M22" s="117">
        <v>3</v>
      </c>
      <c r="N22" s="117">
        <v>3</v>
      </c>
      <c r="O22" s="117">
        <v>3</v>
      </c>
      <c r="P22" s="117">
        <v>3</v>
      </c>
      <c r="Q22" s="117">
        <v>3</v>
      </c>
      <c r="R22" s="117">
        <v>3</v>
      </c>
      <c r="S22" s="117">
        <v>3</v>
      </c>
      <c r="T22" s="117"/>
      <c r="U22" s="117"/>
      <c r="V22" s="117"/>
      <c r="W22" s="117"/>
      <c r="X22" s="117"/>
      <c r="Y22" s="117"/>
      <c r="Z22" s="117"/>
      <c r="AA22" s="117"/>
      <c r="AB22" s="117"/>
      <c r="AC22" s="117"/>
      <c r="AD22" s="117"/>
      <c r="AE22" s="117"/>
      <c r="AF22" s="117"/>
      <c r="AG22" s="117"/>
      <c r="AH22" s="117"/>
      <c r="AI22" s="117"/>
      <c r="AJ22" s="118">
        <f t="shared" si="0"/>
        <v>27</v>
      </c>
      <c r="AK22" s="119">
        <f t="shared" si="1"/>
        <v>3</v>
      </c>
      <c r="AL22" s="129">
        <f t="shared" si="2"/>
        <v>30138.249515086281</v>
      </c>
      <c r="AM22" s="128">
        <f t="shared" si="3"/>
        <v>813732.73690732964</v>
      </c>
      <c r="AN22" s="50"/>
      <c r="AO22" s="51" t="str">
        <f ca="1">IF($AM22&gt;0,IF(AND($G22&lt;&gt;"",$F22&lt;&gt;"",$A22&lt;&gt;"",$B22&lt;&gt;"",$C22&lt;&gt;""),"","Check"),"")</f>
        <v/>
      </c>
      <c r="AP22" s="21"/>
      <c r="AQ22" s="52"/>
    </row>
    <row r="23" spans="1:43" x14ac:dyDescent="0.25">
      <c r="A23" s="53" t="str" cm="1">
        <f t="array" aca="1" ref="A23" ca="1">IFERROR(IF(AM23&gt;0,IF(_xlfn.XLOOKUP(F23,INDIRECT(B23),INDIRECT(B23),"NO")="NO","",_xlfn.XLOOKUP($C23,LUT!$B$3:$B$200,LUT!$D$3:$D$200,"")&amp;""),""),"")</f>
        <v>PFO</v>
      </c>
      <c r="B23" s="54" t="s">
        <v>60</v>
      </c>
      <c r="C23" s="56" t="s">
        <v>30</v>
      </c>
      <c r="D23" s="176" t="s">
        <v>72</v>
      </c>
      <c r="E23" s="88" t="s">
        <v>63</v>
      </c>
      <c r="F23" s="55" t="s">
        <v>73</v>
      </c>
      <c r="G23" s="101" t="s">
        <v>65</v>
      </c>
      <c r="H23" s="117"/>
      <c r="I23" s="117"/>
      <c r="J23" s="117"/>
      <c r="K23" s="117"/>
      <c r="L23" s="117">
        <v>1.5</v>
      </c>
      <c r="M23" s="117">
        <v>3</v>
      </c>
      <c r="N23" s="117">
        <v>3</v>
      </c>
      <c r="O23" s="117">
        <v>3</v>
      </c>
      <c r="P23" s="117">
        <v>3</v>
      </c>
      <c r="Q23" s="117">
        <v>3</v>
      </c>
      <c r="R23" s="117">
        <v>2.6666666666666665</v>
      </c>
      <c r="S23" s="117">
        <v>2.5</v>
      </c>
      <c r="T23" s="117">
        <v>0</v>
      </c>
      <c r="U23" s="117"/>
      <c r="V23" s="117"/>
      <c r="W23" s="117"/>
      <c r="X23" s="117"/>
      <c r="Y23" s="117"/>
      <c r="Z23" s="117"/>
      <c r="AA23" s="117"/>
      <c r="AB23" s="117"/>
      <c r="AC23" s="117"/>
      <c r="AD23" s="117"/>
      <c r="AE23" s="117"/>
      <c r="AF23" s="117"/>
      <c r="AG23" s="117"/>
      <c r="AH23" s="117"/>
      <c r="AI23" s="117"/>
      <c r="AJ23" s="118">
        <f t="shared" si="0"/>
        <v>21.666666666666668</v>
      </c>
      <c r="AK23" s="119">
        <f t="shared" si="1"/>
        <v>3</v>
      </c>
      <c r="AL23" s="129">
        <f t="shared" si="2"/>
        <v>30138.249515086281</v>
      </c>
      <c r="AM23" s="128">
        <f t="shared" si="3"/>
        <v>652995.40616020281</v>
      </c>
      <c r="AN23" s="50"/>
      <c r="AO23" s="51"/>
      <c r="AP23" s="21"/>
      <c r="AQ23" s="52"/>
    </row>
    <row r="24" spans="1:43" x14ac:dyDescent="0.25">
      <c r="A24" s="53" t="str" cm="1">
        <f t="array" aca="1" ref="A24" ca="1">IFERROR(IF(AM24&gt;0,IF(_xlfn.XLOOKUP(F24,INDIRECT(B24),INDIRECT(B24),"NO")="NO","",_xlfn.XLOOKUP($C24,LUT!$B$3:$B$200,LUT!$D$3:$D$200,"")&amp;""),""),"")</f>
        <v>PFO</v>
      </c>
      <c r="B24" s="54" t="s">
        <v>60</v>
      </c>
      <c r="C24" s="56" t="s">
        <v>30</v>
      </c>
      <c r="D24" s="183" t="s">
        <v>74</v>
      </c>
      <c r="E24" s="88" t="s">
        <v>63</v>
      </c>
      <c r="F24" s="55" t="s">
        <v>73</v>
      </c>
      <c r="G24" s="101" t="s">
        <v>65</v>
      </c>
      <c r="H24" s="117"/>
      <c r="I24" s="117"/>
      <c r="J24" s="117"/>
      <c r="K24" s="117"/>
      <c r="L24" s="117">
        <v>2</v>
      </c>
      <c r="M24" s="117">
        <v>4.5</v>
      </c>
      <c r="N24" s="117">
        <v>4.5</v>
      </c>
      <c r="O24" s="117">
        <v>4.5</v>
      </c>
      <c r="P24" s="117">
        <v>4.5</v>
      </c>
      <c r="Q24" s="117">
        <v>4.5</v>
      </c>
      <c r="R24" s="117">
        <v>4.5</v>
      </c>
      <c r="S24" s="117">
        <v>4.5</v>
      </c>
      <c r="T24" s="117">
        <v>0.5</v>
      </c>
      <c r="U24" s="117">
        <v>0.5</v>
      </c>
      <c r="V24" s="117">
        <v>0.5</v>
      </c>
      <c r="W24" s="117"/>
      <c r="X24" s="117"/>
      <c r="Y24" s="117"/>
      <c r="Z24" s="117"/>
      <c r="AA24" s="117"/>
      <c r="AB24" s="117"/>
      <c r="AC24" s="117"/>
      <c r="AD24" s="117"/>
      <c r="AE24" s="117"/>
      <c r="AF24" s="117"/>
      <c r="AG24" s="117"/>
      <c r="AH24" s="117"/>
      <c r="AI24" s="117"/>
      <c r="AJ24" s="118">
        <f t="shared" si="0"/>
        <v>35</v>
      </c>
      <c r="AK24" s="119">
        <f t="shared" si="1"/>
        <v>4.5</v>
      </c>
      <c r="AL24" s="129">
        <f t="shared" si="2"/>
        <v>30138.249515086281</v>
      </c>
      <c r="AM24" s="128">
        <f t="shared" si="3"/>
        <v>1054838.7330280198</v>
      </c>
      <c r="AN24" s="50"/>
      <c r="AO24" s="51"/>
      <c r="AP24" s="21"/>
      <c r="AQ24" s="52"/>
    </row>
    <row r="25" spans="1:43" x14ac:dyDescent="0.25">
      <c r="A25" s="53" t="str" cm="1">
        <f t="array" aca="1" ref="A25" ca="1">IFERROR(IF(AM25&gt;0,IF(_xlfn.XLOOKUP(F25,INDIRECT(B25),INDIRECT(B25),"NO")="NO","",_xlfn.XLOOKUP($C25,LUT!$B$3:$B$200,LUT!$D$3:$D$200,"")&amp;""),""),"")</f>
        <v>PFO</v>
      </c>
      <c r="B25" s="54" t="s">
        <v>60</v>
      </c>
      <c r="C25" s="56" t="s">
        <v>30</v>
      </c>
      <c r="D25" s="183" t="s">
        <v>75</v>
      </c>
      <c r="E25" s="88" t="s">
        <v>63</v>
      </c>
      <c r="F25" s="55" t="s">
        <v>73</v>
      </c>
      <c r="G25" s="101" t="s">
        <v>65</v>
      </c>
      <c r="H25" s="117"/>
      <c r="I25" s="117"/>
      <c r="J25" s="117"/>
      <c r="K25" s="117"/>
      <c r="L25" s="117">
        <v>4.3</v>
      </c>
      <c r="M25" s="117">
        <v>4.5</v>
      </c>
      <c r="N25" s="117">
        <v>4.5</v>
      </c>
      <c r="O25" s="117">
        <v>4.5</v>
      </c>
      <c r="P25" s="117">
        <v>4.5</v>
      </c>
      <c r="Q25" s="117">
        <v>4.5</v>
      </c>
      <c r="R25" s="117">
        <v>3.8333333333333335</v>
      </c>
      <c r="S25" s="117">
        <v>3.5</v>
      </c>
      <c r="T25" s="117"/>
      <c r="U25" s="117"/>
      <c r="V25" s="117"/>
      <c r="W25" s="117"/>
      <c r="X25" s="117"/>
      <c r="Y25" s="117"/>
      <c r="Z25" s="117"/>
      <c r="AA25" s="117"/>
      <c r="AB25" s="117"/>
      <c r="AC25" s="117"/>
      <c r="AD25" s="117"/>
      <c r="AE25" s="117"/>
      <c r="AF25" s="117"/>
      <c r="AG25" s="117"/>
      <c r="AH25" s="117"/>
      <c r="AI25" s="117"/>
      <c r="AJ25" s="118">
        <f t="shared" si="0"/>
        <v>34.133333333333333</v>
      </c>
      <c r="AK25" s="119">
        <f t="shared" si="1"/>
        <v>4.5</v>
      </c>
      <c r="AL25" s="129">
        <f t="shared" si="2"/>
        <v>30138.249515086281</v>
      </c>
      <c r="AM25" s="128">
        <f t="shared" si="3"/>
        <v>1028718.9167816117</v>
      </c>
      <c r="AN25" s="50"/>
      <c r="AO25" s="51"/>
      <c r="AP25" s="21"/>
      <c r="AQ25" s="52"/>
    </row>
    <row r="26" spans="1:43" x14ac:dyDescent="0.25">
      <c r="A26" s="53" t="str" cm="1">
        <f t="array" aca="1" ref="A26" ca="1">IFERROR(IF(AM26&gt;0,IF(_xlfn.XLOOKUP(F26,INDIRECT(B26),INDIRECT(B26),"NO")="NO","",_xlfn.XLOOKUP($C26,LUT!$B$3:$B$200,LUT!$D$3:$D$200,"")&amp;""),""),"")</f>
        <v>PFO</v>
      </c>
      <c r="B26" s="54" t="s">
        <v>60</v>
      </c>
      <c r="C26" s="56" t="s">
        <v>76</v>
      </c>
      <c r="D26" s="183" t="s">
        <v>77</v>
      </c>
      <c r="E26" s="88" t="s">
        <v>63</v>
      </c>
      <c r="F26" s="55" t="s">
        <v>78</v>
      </c>
      <c r="G26" s="101" t="s">
        <v>65</v>
      </c>
      <c r="H26" s="117"/>
      <c r="I26" s="117"/>
      <c r="J26" s="117"/>
      <c r="K26" s="117"/>
      <c r="L26" s="117">
        <v>1</v>
      </c>
      <c r="M26" s="117">
        <v>1</v>
      </c>
      <c r="N26" s="117">
        <v>1</v>
      </c>
      <c r="O26" s="117">
        <v>1</v>
      </c>
      <c r="P26" s="117">
        <v>1</v>
      </c>
      <c r="Q26" s="117">
        <v>1</v>
      </c>
      <c r="R26" s="117">
        <v>1</v>
      </c>
      <c r="S26" s="117">
        <v>1</v>
      </c>
      <c r="T26" s="117"/>
      <c r="U26" s="117"/>
      <c r="V26" s="117"/>
      <c r="W26" s="117"/>
      <c r="X26" s="117"/>
      <c r="Y26" s="117"/>
      <c r="Z26" s="117"/>
      <c r="AA26" s="117"/>
      <c r="AB26" s="117"/>
      <c r="AC26" s="117"/>
      <c r="AD26" s="117"/>
      <c r="AE26" s="117"/>
      <c r="AF26" s="117"/>
      <c r="AG26" s="117"/>
      <c r="AH26" s="117"/>
      <c r="AI26" s="117"/>
      <c r="AJ26" s="118">
        <f t="shared" si="0"/>
        <v>8</v>
      </c>
      <c r="AK26" s="119">
        <f t="shared" si="1"/>
        <v>1</v>
      </c>
      <c r="AL26" s="129">
        <f t="shared" si="2"/>
        <v>30138.249515086281</v>
      </c>
      <c r="AM26" s="128">
        <f t="shared" si="3"/>
        <v>241105.99612069025</v>
      </c>
      <c r="AN26" s="50"/>
      <c r="AO26" s="51" t="str">
        <f ca="1">IF($AM26&gt;0,IF(AND($G26&lt;&gt;"",$F26&lt;&gt;"",$A26&lt;&gt;"",$B26&lt;&gt;"",$C26&lt;&gt;""),"","Check"),"")</f>
        <v/>
      </c>
      <c r="AP26" s="21"/>
      <c r="AQ26" s="52"/>
    </row>
    <row r="27" spans="1:43" x14ac:dyDescent="0.25">
      <c r="A27" s="53" t="str" cm="1">
        <f t="array" aca="1" ref="A27" ca="1">IFERROR(IF(AM27&gt;0,IF(_xlfn.XLOOKUP(F27,INDIRECT(B27),INDIRECT(B27),"NO")="NO","",_xlfn.XLOOKUP($C27,LUT!$B$3:$B$200,LUT!$D$3:$D$200,"")&amp;""),""),"")</f>
        <v>PFO</v>
      </c>
      <c r="B27" s="54" t="s">
        <v>60</v>
      </c>
      <c r="C27" s="56" t="s">
        <v>79</v>
      </c>
      <c r="D27" s="182" t="s">
        <v>80</v>
      </c>
      <c r="E27" s="88" t="s">
        <v>81</v>
      </c>
      <c r="F27" s="55" t="s">
        <v>82</v>
      </c>
      <c r="G27" s="101" t="s">
        <v>65</v>
      </c>
      <c r="H27" s="117"/>
      <c r="I27" s="117"/>
      <c r="J27" s="117">
        <v>3</v>
      </c>
      <c r="K27" s="117">
        <v>3</v>
      </c>
      <c r="L27" s="117">
        <v>3</v>
      </c>
      <c r="M27" s="117">
        <v>3</v>
      </c>
      <c r="N27" s="117">
        <v>3</v>
      </c>
      <c r="O27" s="117">
        <v>3</v>
      </c>
      <c r="P27" s="117">
        <v>3</v>
      </c>
      <c r="Q27" s="117">
        <v>3</v>
      </c>
      <c r="R27" s="117">
        <v>3</v>
      </c>
      <c r="S27" s="117">
        <v>3</v>
      </c>
      <c r="T27" s="117">
        <v>3</v>
      </c>
      <c r="U27" s="117">
        <v>3</v>
      </c>
      <c r="V27" s="117">
        <v>2</v>
      </c>
      <c r="W27" s="117"/>
      <c r="X27" s="117"/>
      <c r="Y27" s="117"/>
      <c r="Z27" s="117"/>
      <c r="AA27" s="117"/>
      <c r="AB27" s="117"/>
      <c r="AC27" s="117"/>
      <c r="AD27" s="117"/>
      <c r="AE27" s="117"/>
      <c r="AF27" s="117"/>
      <c r="AG27" s="117"/>
      <c r="AH27" s="117"/>
      <c r="AI27" s="117"/>
      <c r="AJ27" s="118">
        <f t="shared" si="0"/>
        <v>38</v>
      </c>
      <c r="AK27" s="119">
        <f t="shared" si="1"/>
        <v>3</v>
      </c>
      <c r="AL27" s="129">
        <f t="shared" si="2"/>
        <v>27275.208822115485</v>
      </c>
      <c r="AM27" s="128">
        <f t="shared" si="3"/>
        <v>1036457.9352403884</v>
      </c>
      <c r="AN27" s="50"/>
      <c r="AO27" s="51"/>
      <c r="AP27" s="21"/>
      <c r="AQ27" s="52"/>
    </row>
    <row r="28" spans="1:43" hidden="1" x14ac:dyDescent="0.25">
      <c r="A28" s="53" t="str" cm="1">
        <f t="array" aca="1" ref="A28" ca="1">IFERROR(IF(AM28&gt;0,IF(_xlfn.XLOOKUP(F28,INDIRECT(B28),INDIRECT(B28),"NO")="NO","",_xlfn.XLOOKUP($C28,LUT!$B$3:$B$200,LUT!$D$3:$D$200,"")&amp;""),""),"")</f>
        <v>Security</v>
      </c>
      <c r="B28" s="54" t="s">
        <v>83</v>
      </c>
      <c r="C28" s="56" t="s">
        <v>84</v>
      </c>
      <c r="D28" s="182" t="s">
        <v>85</v>
      </c>
      <c r="E28" s="88" t="s">
        <v>86</v>
      </c>
      <c r="F28" s="55" t="s">
        <v>87</v>
      </c>
      <c r="G28" s="101" t="s">
        <v>88</v>
      </c>
      <c r="H28" s="117"/>
      <c r="I28" s="117"/>
      <c r="J28" s="117"/>
      <c r="K28" s="117">
        <v>0.1</v>
      </c>
      <c r="L28" s="117">
        <v>0.1</v>
      </c>
      <c r="M28" s="117">
        <v>0.2</v>
      </c>
      <c r="N28" s="117">
        <v>0.2</v>
      </c>
      <c r="O28" s="117">
        <v>0.2</v>
      </c>
      <c r="P28" s="117">
        <v>0.2</v>
      </c>
      <c r="Q28" s="117">
        <v>0.2</v>
      </c>
      <c r="R28" s="117">
        <v>0.2</v>
      </c>
      <c r="S28" s="117">
        <v>0.1</v>
      </c>
      <c r="T28" s="117">
        <v>0.1</v>
      </c>
      <c r="U28" s="117">
        <v>0.1</v>
      </c>
      <c r="V28" s="117">
        <v>0.1</v>
      </c>
      <c r="W28" s="117"/>
      <c r="X28" s="117"/>
      <c r="Y28" s="117"/>
      <c r="Z28" s="117"/>
      <c r="AA28" s="117"/>
      <c r="AB28" s="117"/>
      <c r="AC28" s="117"/>
      <c r="AD28" s="117"/>
      <c r="AE28" s="117"/>
      <c r="AF28" s="117"/>
      <c r="AG28" s="117"/>
      <c r="AH28" s="117"/>
      <c r="AI28" s="117"/>
      <c r="AJ28" s="118">
        <f t="shared" si="0"/>
        <v>1.8000000000000003</v>
      </c>
      <c r="AK28" s="119">
        <f t="shared" si="1"/>
        <v>0.2</v>
      </c>
      <c r="AL28" s="129">
        <f t="shared" si="2"/>
        <v>57001.201725000043</v>
      </c>
      <c r="AM28" s="128">
        <f t="shared" si="3"/>
        <v>102602.16310500009</v>
      </c>
      <c r="AN28" s="50"/>
      <c r="AO28" s="51" t="str">
        <f ca="1">IF($AM28&gt;0,IF(AND($G28&lt;&gt;"",$F28&lt;&gt;"",$A28&lt;&gt;"",$B28&lt;&gt;"",$C28&lt;&gt;""),"","Check"),"")</f>
        <v/>
      </c>
      <c r="AP28" s="21"/>
      <c r="AQ28" s="52"/>
    </row>
    <row r="29" spans="1:43" hidden="1" x14ac:dyDescent="0.25">
      <c r="A29" s="53" t="str" cm="1">
        <f t="array" aca="1" ref="A29" ca="1">IFERROR(IF(AM29&gt;0,IF(_xlfn.XLOOKUP(F29,INDIRECT(B29),INDIRECT(B29),"NO")="NO","",_xlfn.XLOOKUP($C29,LUT!$B$3:$B$200,LUT!$D$3:$D$200,"")&amp;""),""),"")</f>
        <v>Security</v>
      </c>
      <c r="B29" s="54" t="s">
        <v>83</v>
      </c>
      <c r="C29" s="56" t="s">
        <v>84</v>
      </c>
      <c r="D29" s="182" t="s">
        <v>89</v>
      </c>
      <c r="E29" s="88" t="s">
        <v>86</v>
      </c>
      <c r="F29" s="55" t="s">
        <v>87</v>
      </c>
      <c r="G29" s="101" t="s">
        <v>88</v>
      </c>
      <c r="H29" s="117"/>
      <c r="I29" s="117"/>
      <c r="J29" s="117"/>
      <c r="K29" s="117"/>
      <c r="L29" s="117">
        <v>0.1</v>
      </c>
      <c r="M29" s="117">
        <v>0.2</v>
      </c>
      <c r="N29" s="117">
        <v>0.2</v>
      </c>
      <c r="O29" s="117">
        <v>0.2</v>
      </c>
      <c r="P29" s="117">
        <v>0.2</v>
      </c>
      <c r="Q29" s="117">
        <v>0.2</v>
      </c>
      <c r="R29" s="117">
        <v>0.2</v>
      </c>
      <c r="S29" s="117">
        <v>0.1</v>
      </c>
      <c r="T29" s="117">
        <v>0.1</v>
      </c>
      <c r="U29" s="117">
        <v>0.1</v>
      </c>
      <c r="V29" s="117">
        <v>0.1</v>
      </c>
      <c r="W29" s="117"/>
      <c r="X29" s="117"/>
      <c r="Y29" s="117"/>
      <c r="Z29" s="117"/>
      <c r="AA29" s="117"/>
      <c r="AB29" s="117"/>
      <c r="AC29" s="117"/>
      <c r="AD29" s="117"/>
      <c r="AE29" s="117"/>
      <c r="AF29" s="117"/>
      <c r="AG29" s="117"/>
      <c r="AH29" s="117"/>
      <c r="AI29" s="117"/>
      <c r="AJ29" s="118">
        <f t="shared" si="0"/>
        <v>1.7000000000000002</v>
      </c>
      <c r="AK29" s="119">
        <f t="shared" si="1"/>
        <v>0.2</v>
      </c>
      <c r="AL29" s="129">
        <f t="shared" si="2"/>
        <v>57001.201725000043</v>
      </c>
      <c r="AM29" s="128">
        <f t="shared" si="3"/>
        <v>96902.042932500088</v>
      </c>
      <c r="AN29" s="50"/>
      <c r="AO29" s="51" t="str">
        <f ca="1">IF($AM29&gt;0,IF(AND($G29&lt;&gt;"",$F29&lt;&gt;"",$A29&lt;&gt;"",$B29&lt;&gt;"",$C29&lt;&gt;""),"","Check"),"")</f>
        <v/>
      </c>
      <c r="AP29" s="21"/>
      <c r="AQ29" s="52"/>
    </row>
    <row r="30" spans="1:43" hidden="1" x14ac:dyDescent="0.25">
      <c r="A30" s="53" t="str" cm="1">
        <f t="array" aca="1" ref="A30" ca="1">IFERROR(IF(AM30&gt;0,IF(_xlfn.XLOOKUP(F30,INDIRECT(B30),INDIRECT(B30),"NO")="NO","",_xlfn.XLOOKUP($C30,LUT!$B$3:$B$200,LUT!$D$3:$D$200,"")&amp;""),""),"")</f>
        <v>SW PM</v>
      </c>
      <c r="B30" s="54" t="s">
        <v>90</v>
      </c>
      <c r="C30" s="56" t="s">
        <v>91</v>
      </c>
      <c r="D30" s="182" t="s">
        <v>92</v>
      </c>
      <c r="E30" s="88" t="s">
        <v>63</v>
      </c>
      <c r="F30" s="55" t="s">
        <v>93</v>
      </c>
      <c r="G30" s="101" t="s">
        <v>88</v>
      </c>
      <c r="H30" s="117"/>
      <c r="I30" s="117">
        <v>0.1</v>
      </c>
      <c r="J30" s="117">
        <v>0.2</v>
      </c>
      <c r="K30" s="117">
        <v>0.3</v>
      </c>
      <c r="L30" s="117">
        <v>0.5</v>
      </c>
      <c r="M30" s="117">
        <v>0.5</v>
      </c>
      <c r="N30" s="117">
        <v>0.5</v>
      </c>
      <c r="O30" s="117">
        <v>0.5</v>
      </c>
      <c r="P30" s="117">
        <v>0.5</v>
      </c>
      <c r="Q30" s="117">
        <v>0.5</v>
      </c>
      <c r="R30" s="117">
        <v>0.5</v>
      </c>
      <c r="S30" s="117">
        <v>0.5</v>
      </c>
      <c r="T30" s="117">
        <v>0.5</v>
      </c>
      <c r="U30" s="117">
        <v>0.5</v>
      </c>
      <c r="V30" s="117">
        <v>0.3</v>
      </c>
      <c r="W30" s="117">
        <v>0.2</v>
      </c>
      <c r="X30" s="117"/>
      <c r="Y30" s="117"/>
      <c r="Z30" s="117"/>
      <c r="AA30" s="117"/>
      <c r="AB30" s="117"/>
      <c r="AC30" s="117"/>
      <c r="AD30" s="117">
        <v>0</v>
      </c>
      <c r="AE30" s="117">
        <v>0</v>
      </c>
      <c r="AF30" s="117"/>
      <c r="AG30" s="117"/>
      <c r="AH30" s="117"/>
      <c r="AI30" s="117"/>
      <c r="AJ30" s="118">
        <f t="shared" si="0"/>
        <v>6.1</v>
      </c>
      <c r="AK30" s="119">
        <f t="shared" si="1"/>
        <v>0.5</v>
      </c>
      <c r="AL30" s="129">
        <f t="shared" si="2"/>
        <v>30138.249515086281</v>
      </c>
      <c r="AM30" s="128">
        <f t="shared" si="3"/>
        <v>183843.3220420263</v>
      </c>
      <c r="AN30" s="50"/>
      <c r="AO30" s="51" t="str">
        <f ca="1">IF($AM30&gt;0,IF(AND($G30&lt;&gt;"",$F30&lt;&gt;"",$A30&lt;&gt;"",$B30&lt;&gt;"",$C30&lt;&gt;""),"","Check"),"")</f>
        <v/>
      </c>
      <c r="AP30" s="21"/>
      <c r="AQ30" s="52"/>
    </row>
    <row r="31" spans="1:43" hidden="1" x14ac:dyDescent="0.25">
      <c r="A31" s="53" t="str" cm="1">
        <f t="array" aca="1" ref="A31" ca="1">IFERROR(IF(AM31&gt;0,IF(_xlfn.XLOOKUP(F31,INDIRECT(B31),INDIRECT(B31),"NO")="NO","",_xlfn.XLOOKUP($C31,LUT!$B$3:$B$200,LUT!$D$3:$D$200,"")&amp;""),""),"")</f>
        <v>3DGFX</v>
      </c>
      <c r="B31" s="54" t="s">
        <v>94</v>
      </c>
      <c r="C31" s="56" t="s">
        <v>95</v>
      </c>
      <c r="D31" s="182" t="s">
        <v>96</v>
      </c>
      <c r="E31" s="88" t="s">
        <v>86</v>
      </c>
      <c r="F31" s="55" t="s">
        <v>97</v>
      </c>
      <c r="G31" s="101" t="s">
        <v>88</v>
      </c>
      <c r="H31" s="117"/>
      <c r="I31" s="117"/>
      <c r="J31" s="117"/>
      <c r="K31" s="117">
        <v>1</v>
      </c>
      <c r="L31" s="117">
        <v>1</v>
      </c>
      <c r="M31" s="117">
        <v>1</v>
      </c>
      <c r="N31" s="117">
        <v>1</v>
      </c>
      <c r="O31" s="117">
        <v>1</v>
      </c>
      <c r="P31" s="117">
        <v>1</v>
      </c>
      <c r="Q31" s="117">
        <v>1</v>
      </c>
      <c r="R31" s="117">
        <v>1</v>
      </c>
      <c r="S31" s="117">
        <v>1</v>
      </c>
      <c r="T31" s="117">
        <v>1</v>
      </c>
      <c r="U31" s="117">
        <v>1</v>
      </c>
      <c r="V31" s="117"/>
      <c r="W31" s="117"/>
      <c r="X31" s="117"/>
      <c r="Y31" s="117"/>
      <c r="Z31" s="117"/>
      <c r="AA31" s="117"/>
      <c r="AB31" s="117"/>
      <c r="AC31" s="117"/>
      <c r="AD31" s="117"/>
      <c r="AE31" s="117"/>
      <c r="AF31" s="117"/>
      <c r="AG31" s="117"/>
      <c r="AH31" s="117"/>
      <c r="AI31" s="117"/>
      <c r="AJ31" s="118">
        <f t="shared" si="0"/>
        <v>11</v>
      </c>
      <c r="AK31" s="119">
        <f t="shared" si="1"/>
        <v>1</v>
      </c>
      <c r="AL31" s="129">
        <f t="shared" si="2"/>
        <v>57001.201725000043</v>
      </c>
      <c r="AM31" s="128">
        <f t="shared" si="3"/>
        <v>627013.21897500043</v>
      </c>
      <c r="AN31" s="50"/>
      <c r="AO31" s="51"/>
      <c r="AP31" s="21"/>
      <c r="AQ31" s="52"/>
    </row>
    <row r="32" spans="1:43" hidden="1" x14ac:dyDescent="0.25">
      <c r="A32" s="53" t="str" cm="1">
        <f t="array" aca="1" ref="A32" ca="1">IFERROR(IF(AM32&gt;0,IF(_xlfn.XLOOKUP(F32,INDIRECT(B32),INDIRECT(B32),"NO")="NO","",_xlfn.XLOOKUP($C32,LUT!$B$3:$B$200,LUT!$D$3:$D$200,"")&amp;""),""),"")</f>
        <v>Disp&amp;MM</v>
      </c>
      <c r="B32" s="54" t="s">
        <v>98</v>
      </c>
      <c r="C32" s="56" t="s">
        <v>11</v>
      </c>
      <c r="D32" s="182" t="s">
        <v>99</v>
      </c>
      <c r="E32" s="88" t="s">
        <v>63</v>
      </c>
      <c r="F32" s="55" t="s">
        <v>100</v>
      </c>
      <c r="G32" s="101" t="s">
        <v>65</v>
      </c>
      <c r="H32" s="117"/>
      <c r="I32" s="117"/>
      <c r="J32" s="117"/>
      <c r="K32" s="117">
        <v>2</v>
      </c>
      <c r="L32" s="117">
        <v>3</v>
      </c>
      <c r="M32" s="117">
        <v>3</v>
      </c>
      <c r="N32" s="117">
        <v>3</v>
      </c>
      <c r="O32" s="117">
        <v>4</v>
      </c>
      <c r="P32" s="117">
        <v>4</v>
      </c>
      <c r="Q32" s="117">
        <v>5</v>
      </c>
      <c r="R32" s="117">
        <v>5</v>
      </c>
      <c r="S32" s="117">
        <v>6</v>
      </c>
      <c r="T32" s="117">
        <v>6</v>
      </c>
      <c r="U32" s="117">
        <v>4</v>
      </c>
      <c r="V32" s="117">
        <v>3</v>
      </c>
      <c r="W32" s="117"/>
      <c r="X32" s="117"/>
      <c r="Y32" s="117"/>
      <c r="Z32" s="117"/>
      <c r="AA32" s="117"/>
      <c r="AB32" s="117"/>
      <c r="AC32" s="117"/>
      <c r="AD32" s="117"/>
      <c r="AE32" s="117"/>
      <c r="AF32" s="117"/>
      <c r="AG32" s="117"/>
      <c r="AH32" s="117"/>
      <c r="AI32" s="117"/>
      <c r="AJ32" s="118">
        <f t="shared" si="0"/>
        <v>48</v>
      </c>
      <c r="AK32" s="119">
        <f t="shared" si="1"/>
        <v>6</v>
      </c>
      <c r="AL32" s="129">
        <f t="shared" si="2"/>
        <v>30138.249515086281</v>
      </c>
      <c r="AM32" s="128">
        <f t="shared" si="3"/>
        <v>1446635.9767241415</v>
      </c>
      <c r="AN32" s="50"/>
      <c r="AO32" s="51"/>
      <c r="AP32" s="21"/>
      <c r="AQ32" s="52"/>
    </row>
    <row r="33" spans="1:43" hidden="1" x14ac:dyDescent="0.25">
      <c r="A33" s="53" t="str" cm="1">
        <f t="array" aca="1" ref="A33" ca="1">IFERROR(IF(AM33&gt;0,IF(_xlfn.XLOOKUP(F33,INDIRECT(B33),INDIRECT(B33),"NO")="NO","",_xlfn.XLOOKUP($C33,LUT!$B$3:$B$200,LUT!$D$3:$D$200,"")&amp;""),""),"")</f>
        <v>Disp&amp;MM</v>
      </c>
      <c r="B33" s="54" t="s">
        <v>98</v>
      </c>
      <c r="C33" s="56" t="s">
        <v>101</v>
      </c>
      <c r="D33" s="182" t="s">
        <v>102</v>
      </c>
      <c r="E33" s="88" t="s">
        <v>103</v>
      </c>
      <c r="F33" s="55" t="s">
        <v>104</v>
      </c>
      <c r="G33" s="101" t="s">
        <v>65</v>
      </c>
      <c r="H33" s="117"/>
      <c r="I33" s="117"/>
      <c r="J33" s="117"/>
      <c r="K33" s="117">
        <v>1</v>
      </c>
      <c r="L33" s="117">
        <v>1</v>
      </c>
      <c r="M33" s="117">
        <v>2</v>
      </c>
      <c r="N33" s="117">
        <v>2</v>
      </c>
      <c r="O33" s="117">
        <v>3</v>
      </c>
      <c r="P33" s="117">
        <v>4</v>
      </c>
      <c r="Q33" s="117">
        <v>4</v>
      </c>
      <c r="R33" s="117">
        <v>3</v>
      </c>
      <c r="S33" s="117">
        <v>2</v>
      </c>
      <c r="T33" s="117">
        <v>1</v>
      </c>
      <c r="U33" s="117">
        <v>1</v>
      </c>
      <c r="V33" s="117">
        <v>0</v>
      </c>
      <c r="W33" s="117">
        <v>0</v>
      </c>
      <c r="X33" s="117"/>
      <c r="Y33" s="117"/>
      <c r="Z33" s="117"/>
      <c r="AA33" s="117"/>
      <c r="AB33" s="117"/>
      <c r="AC33" s="117"/>
      <c r="AD33" s="117"/>
      <c r="AE33" s="117"/>
      <c r="AF33" s="117"/>
      <c r="AG33" s="117"/>
      <c r="AH33" s="117"/>
      <c r="AI33" s="117"/>
      <c r="AJ33" s="118">
        <f t="shared" si="0"/>
        <v>24</v>
      </c>
      <c r="AK33" s="119">
        <f t="shared" si="1"/>
        <v>4</v>
      </c>
      <c r="AL33" s="129">
        <f t="shared" si="2"/>
        <v>24974.506238532111</v>
      </c>
      <c r="AM33" s="128">
        <f t="shared" si="3"/>
        <v>599388.14972477069</v>
      </c>
      <c r="AN33" s="50"/>
      <c r="AO33" s="51"/>
      <c r="AP33" s="21"/>
      <c r="AQ33" s="52"/>
    </row>
    <row r="34" spans="1:43" hidden="1" x14ac:dyDescent="0.25">
      <c r="A34" s="53" t="str" cm="1">
        <f t="array" aca="1" ref="A34" ca="1">IFERROR(IF(AM34&gt;0,IF(_xlfn.XLOOKUP(F34,INDIRECT(B34),INDIRECT(B34),"NO")="NO","",_xlfn.XLOOKUP($C34,LUT!$B$3:$B$200,LUT!$D$3:$D$200,"")&amp;""),""),"")</f>
        <v>Disp&amp;MM</v>
      </c>
      <c r="B34" s="54" t="s">
        <v>98</v>
      </c>
      <c r="C34" s="56" t="s">
        <v>105</v>
      </c>
      <c r="D34" s="182" t="s">
        <v>106</v>
      </c>
      <c r="E34" s="88" t="s">
        <v>63</v>
      </c>
      <c r="F34" s="55" t="s">
        <v>107</v>
      </c>
      <c r="G34" s="101" t="s">
        <v>65</v>
      </c>
      <c r="H34" s="117"/>
      <c r="I34" s="117"/>
      <c r="J34" s="117"/>
      <c r="K34" s="117"/>
      <c r="L34" s="117"/>
      <c r="M34" s="117"/>
      <c r="N34" s="117"/>
      <c r="O34" s="117">
        <v>1</v>
      </c>
      <c r="P34" s="117">
        <v>1</v>
      </c>
      <c r="Q34" s="117">
        <v>1</v>
      </c>
      <c r="R34" s="117">
        <v>1</v>
      </c>
      <c r="S34" s="117">
        <v>1</v>
      </c>
      <c r="T34" s="117">
        <v>1</v>
      </c>
      <c r="U34" s="117">
        <v>1</v>
      </c>
      <c r="V34" s="117">
        <v>1</v>
      </c>
      <c r="W34" s="117"/>
      <c r="X34" s="117"/>
      <c r="Y34" s="117"/>
      <c r="Z34" s="117"/>
      <c r="AA34" s="117"/>
      <c r="AB34" s="117"/>
      <c r="AC34" s="117"/>
      <c r="AD34" s="117"/>
      <c r="AE34" s="117"/>
      <c r="AF34" s="117"/>
      <c r="AG34" s="117"/>
      <c r="AH34" s="117"/>
      <c r="AI34" s="117"/>
      <c r="AJ34" s="118">
        <f t="shared" si="0"/>
        <v>8</v>
      </c>
      <c r="AK34" s="119">
        <f t="shared" si="1"/>
        <v>1</v>
      </c>
      <c r="AL34" s="129">
        <f t="shared" si="2"/>
        <v>30138.249515086281</v>
      </c>
      <c r="AM34" s="128">
        <f t="shared" si="3"/>
        <v>241105.99612069025</v>
      </c>
      <c r="AN34" s="50"/>
      <c r="AO34" s="51" t="str">
        <f ca="1">IF($AM34&gt;0,IF(AND($G34&lt;&gt;"",$F34&lt;&gt;"",$A34&lt;&gt;"",$B34&lt;&gt;"",$C34&lt;&gt;""),"","Check"),"")</f>
        <v/>
      </c>
      <c r="AP34" s="21"/>
      <c r="AQ34" s="52"/>
    </row>
    <row r="35" spans="1:43" hidden="1" x14ac:dyDescent="0.25">
      <c r="A35" s="53" t="str" cm="1">
        <f t="array" aca="1" ref="A35" ca="1">IFERROR(IF(AM35&gt;0,IF(_xlfn.XLOOKUP(F35,INDIRECT(B35),INDIRECT(B35),"NO")="NO","",_xlfn.XLOOKUP($C35,LUT!$B$3:$B$200,LUT!$D$3:$D$200,"")&amp;""),""),"")</f>
        <v>Disp&amp;MM</v>
      </c>
      <c r="B35" s="54" t="s">
        <v>98</v>
      </c>
      <c r="C35" s="56" t="s">
        <v>15</v>
      </c>
      <c r="D35" s="88" t="s">
        <v>108</v>
      </c>
      <c r="E35" s="88" t="s">
        <v>63</v>
      </c>
      <c r="F35" s="55" t="s">
        <v>109</v>
      </c>
      <c r="G35" s="101" t="s">
        <v>65</v>
      </c>
      <c r="H35" s="117"/>
      <c r="I35" s="117"/>
      <c r="J35" s="117"/>
      <c r="K35" s="117">
        <v>1</v>
      </c>
      <c r="L35" s="117">
        <v>1</v>
      </c>
      <c r="M35" s="117">
        <v>1</v>
      </c>
      <c r="N35" s="117">
        <v>1</v>
      </c>
      <c r="O35" s="117">
        <v>1</v>
      </c>
      <c r="P35" s="117">
        <v>1</v>
      </c>
      <c r="Q35" s="117">
        <v>1.5</v>
      </c>
      <c r="R35" s="117">
        <v>1.5</v>
      </c>
      <c r="S35" s="117">
        <v>1.5</v>
      </c>
      <c r="T35" s="117">
        <v>1.5</v>
      </c>
      <c r="U35" s="117">
        <v>1</v>
      </c>
      <c r="V35" s="117">
        <v>1</v>
      </c>
      <c r="W35" s="117"/>
      <c r="X35" s="117"/>
      <c r="Y35" s="117"/>
      <c r="Z35" s="117"/>
      <c r="AA35" s="117"/>
      <c r="AB35" s="117"/>
      <c r="AC35" s="117"/>
      <c r="AD35" s="117"/>
      <c r="AE35" s="117"/>
      <c r="AF35" s="117"/>
      <c r="AG35" s="117"/>
      <c r="AH35" s="117"/>
      <c r="AI35" s="117"/>
      <c r="AJ35" s="118">
        <f t="shared" si="0"/>
        <v>14</v>
      </c>
      <c r="AK35" s="119">
        <f t="shared" si="1"/>
        <v>1.5</v>
      </c>
      <c r="AL35" s="129">
        <f t="shared" si="2"/>
        <v>30138.249515086281</v>
      </c>
      <c r="AM35" s="128">
        <f t="shared" si="3"/>
        <v>421935.49321120791</v>
      </c>
      <c r="AN35" s="50"/>
      <c r="AO35" s="51"/>
    </row>
    <row r="36" spans="1:43" hidden="1" x14ac:dyDescent="0.25">
      <c r="A36" s="53" t="str" cm="1">
        <f t="array" aca="1" ref="A36" ca="1">IFERROR(IF(AM36&gt;0,IF(_xlfn.XLOOKUP(F36,INDIRECT(B36),INDIRECT(B36),"NO")="NO","",_xlfn.XLOOKUP($C36,LUT!$B$3:$B$200,LUT!$D$3:$D$200,"")&amp;""),""),"")</f>
        <v/>
      </c>
      <c r="B36" s="54"/>
      <c r="C36" s="56"/>
      <c r="D36" s="88"/>
      <c r="E36" s="88"/>
      <c r="F36" s="55"/>
      <c r="G36" s="101"/>
      <c r="H36" s="117"/>
      <c r="I36" s="117"/>
      <c r="J36" s="117"/>
      <c r="K36" s="117"/>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8">
        <f t="shared" si="0"/>
        <v>0</v>
      </c>
      <c r="AK36" s="119">
        <f t="shared" si="1"/>
        <v>0</v>
      </c>
      <c r="AL36" s="129">
        <f t="shared" si="2"/>
        <v>0</v>
      </c>
      <c r="AM36" s="128">
        <f t="shared" si="3"/>
        <v>0</v>
      </c>
      <c r="AN36" s="50"/>
      <c r="AO36" s="51" t="str">
        <f t="shared" ref="AO36:AO62" si="4">IF($AM36&gt;0,IF(AND($G36&lt;&gt;"",$F36&lt;&gt;"",$A36&lt;&gt;"",$B36&lt;&gt;"",$C36&lt;&gt;""),"","Check"),"")</f>
        <v/>
      </c>
      <c r="AP36" s="21"/>
      <c r="AQ36" s="52"/>
    </row>
    <row r="37" spans="1:43" hidden="1" x14ac:dyDescent="0.25">
      <c r="A37" s="53" t="str" cm="1">
        <f t="array" aca="1" ref="A37" ca="1">IFERROR(IF(AM37&gt;0,IF(_xlfn.XLOOKUP(F37,INDIRECT(B37),INDIRECT(B37),"NO")="NO","",_xlfn.XLOOKUP($C37,LUT!$B$3:$B$200,LUT!$D$3:$D$200,"")&amp;""),""),"")</f>
        <v/>
      </c>
      <c r="B37" s="54"/>
      <c r="C37" s="56"/>
      <c r="D37" s="88"/>
      <c r="E37" s="88"/>
      <c r="F37" s="55"/>
      <c r="G37" s="101"/>
      <c r="H37" s="117"/>
      <c r="I37" s="117"/>
      <c r="J37" s="117"/>
      <c r="K37" s="117"/>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8">
        <f t="shared" si="0"/>
        <v>0</v>
      </c>
      <c r="AK37" s="119">
        <f t="shared" si="1"/>
        <v>0</v>
      </c>
      <c r="AL37" s="129">
        <f t="shared" si="2"/>
        <v>0</v>
      </c>
      <c r="AM37" s="128">
        <f t="shared" si="3"/>
        <v>0</v>
      </c>
      <c r="AN37" s="50"/>
      <c r="AO37" s="51" t="str">
        <f t="shared" si="4"/>
        <v/>
      </c>
      <c r="AP37" s="21"/>
      <c r="AQ37" s="52"/>
    </row>
    <row r="38" spans="1:43" hidden="1" x14ac:dyDescent="0.25">
      <c r="A38" s="53" t="str" cm="1">
        <f t="array" aca="1" ref="A38" ca="1">IFERROR(IF(AM38&gt;0,IF(_xlfn.XLOOKUP(F38,INDIRECT(B38),INDIRECT(B38),"NO")="NO","",_xlfn.XLOOKUP($C38,LUT!$B$3:$B$200,LUT!$D$3:$D$200,"")&amp;""),""),"")</f>
        <v/>
      </c>
      <c r="B38" s="54"/>
      <c r="C38" s="56"/>
      <c r="D38" s="88"/>
      <c r="E38" s="88"/>
      <c r="F38" s="55"/>
      <c r="G38" s="101"/>
      <c r="H38" s="117"/>
      <c r="I38" s="117"/>
      <c r="J38" s="117"/>
      <c r="K38" s="117"/>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8">
        <f t="shared" ref="AJ38:AJ64" si="5">SUM(H38:AI38)</f>
        <v>0</v>
      </c>
      <c r="AK38" s="119">
        <f t="shared" ref="AK38:AK64" si="6">MAX(H38:AI38)</f>
        <v>0</v>
      </c>
      <c r="AL38" s="129">
        <f t="shared" ref="AL38:AL64" si="7">_xlfn.XLOOKUP(E38,Location,labour,0)</f>
        <v>0</v>
      </c>
      <c r="AM38" s="128">
        <f t="shared" ref="AM38:AM64" si="8">AL38*AJ38</f>
        <v>0</v>
      </c>
      <c r="AN38" s="50"/>
      <c r="AO38" s="51" t="str">
        <f t="shared" si="4"/>
        <v/>
      </c>
      <c r="AP38" s="21"/>
      <c r="AQ38" s="52"/>
    </row>
    <row r="39" spans="1:43" hidden="1" x14ac:dyDescent="0.25">
      <c r="A39" s="53" t="str" cm="1">
        <f t="array" aca="1" ref="A39" ca="1">IFERROR(IF(AM39&gt;0,IF(_xlfn.XLOOKUP(F39,INDIRECT(B39),INDIRECT(B39),"NO")="NO","",_xlfn.XLOOKUP($C39,LUT!$B$3:$B$200,LUT!$D$3:$D$200,"")&amp;""),""),"")</f>
        <v/>
      </c>
      <c r="B39" s="54"/>
      <c r="C39" s="56"/>
      <c r="D39" s="88"/>
      <c r="E39" s="88"/>
      <c r="F39" s="55"/>
      <c r="G39" s="101"/>
      <c r="H39" s="117"/>
      <c r="I39" s="117"/>
      <c r="J39" s="117"/>
      <c r="K39" s="117"/>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8">
        <f t="shared" si="5"/>
        <v>0</v>
      </c>
      <c r="AK39" s="119">
        <f t="shared" si="6"/>
        <v>0</v>
      </c>
      <c r="AL39" s="129">
        <f t="shared" si="7"/>
        <v>0</v>
      </c>
      <c r="AM39" s="128">
        <f t="shared" si="8"/>
        <v>0</v>
      </c>
      <c r="AN39" s="50"/>
      <c r="AO39" s="51" t="str">
        <f t="shared" si="4"/>
        <v/>
      </c>
      <c r="AP39" s="21"/>
      <c r="AQ39" s="52"/>
    </row>
    <row r="40" spans="1:43" hidden="1" x14ac:dyDescent="0.25">
      <c r="A40" s="53" t="str" cm="1">
        <f t="array" aca="1" ref="A40" ca="1">IFERROR(IF(AM40&gt;0,IF(_xlfn.XLOOKUP(F40,INDIRECT(B40),INDIRECT(B40),"NO")="NO","",_xlfn.XLOOKUP($C40,LUT!$B$3:$B$200,LUT!$D$3:$D$200,"")&amp;""),""),"")</f>
        <v/>
      </c>
      <c r="B40" s="54"/>
      <c r="C40" s="56"/>
      <c r="D40" s="88"/>
      <c r="E40" s="88"/>
      <c r="F40" s="55"/>
      <c r="G40" s="101"/>
      <c r="H40" s="117"/>
      <c r="I40" s="117"/>
      <c r="J40" s="117"/>
      <c r="K40" s="117"/>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8">
        <f t="shared" si="5"/>
        <v>0</v>
      </c>
      <c r="AK40" s="119">
        <f t="shared" si="6"/>
        <v>0</v>
      </c>
      <c r="AL40" s="129">
        <f t="shared" si="7"/>
        <v>0</v>
      </c>
      <c r="AM40" s="128">
        <f t="shared" si="8"/>
        <v>0</v>
      </c>
      <c r="AN40" s="50"/>
      <c r="AO40" s="51" t="str">
        <f t="shared" si="4"/>
        <v/>
      </c>
      <c r="AP40" s="21"/>
      <c r="AQ40" s="52"/>
    </row>
    <row r="41" spans="1:43" hidden="1" x14ac:dyDescent="0.25">
      <c r="A41" s="53" t="str" cm="1">
        <f t="array" aca="1" ref="A41" ca="1">IFERROR(IF(AM41&gt;0,IF(_xlfn.XLOOKUP(F41,INDIRECT(B41),INDIRECT(B41),"NO")="NO","",_xlfn.XLOOKUP($C41,LUT!$B$3:$B$200,LUT!$D$3:$D$200,"")&amp;""),""),"")</f>
        <v/>
      </c>
      <c r="B41" s="54"/>
      <c r="C41" s="56"/>
      <c r="D41" s="88"/>
      <c r="E41" s="88"/>
      <c r="F41" s="55"/>
      <c r="G41" s="101"/>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8">
        <f t="shared" si="5"/>
        <v>0</v>
      </c>
      <c r="AK41" s="119">
        <f t="shared" si="6"/>
        <v>0</v>
      </c>
      <c r="AL41" s="129">
        <f t="shared" si="7"/>
        <v>0</v>
      </c>
      <c r="AM41" s="128">
        <f t="shared" si="8"/>
        <v>0</v>
      </c>
      <c r="AN41" s="50"/>
      <c r="AO41" s="51" t="str">
        <f t="shared" si="4"/>
        <v/>
      </c>
      <c r="AP41" s="21"/>
      <c r="AQ41" s="52"/>
    </row>
    <row r="42" spans="1:43" hidden="1" x14ac:dyDescent="0.25">
      <c r="A42" s="53" t="str" cm="1">
        <f t="array" aca="1" ref="A42" ca="1">IFERROR(IF(AM42&gt;0,IF(_xlfn.XLOOKUP(F42,INDIRECT(B42),INDIRECT(B42),"NO")="NO","",_xlfn.XLOOKUP($C42,LUT!$B$3:$B$200,LUT!$D$3:$D$200,"")&amp;""),""),"")</f>
        <v/>
      </c>
      <c r="B42" s="54"/>
      <c r="C42" s="56"/>
      <c r="D42" s="88"/>
      <c r="E42" s="88"/>
      <c r="F42" s="55"/>
      <c r="G42" s="101"/>
      <c r="H42" s="117"/>
      <c r="I42" s="117"/>
      <c r="J42" s="117"/>
      <c r="K42" s="117"/>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8">
        <f t="shared" si="5"/>
        <v>0</v>
      </c>
      <c r="AK42" s="119">
        <f t="shared" si="6"/>
        <v>0</v>
      </c>
      <c r="AL42" s="129">
        <f t="shared" si="7"/>
        <v>0</v>
      </c>
      <c r="AM42" s="128">
        <f t="shared" si="8"/>
        <v>0</v>
      </c>
      <c r="AN42" s="50"/>
      <c r="AO42" s="51" t="str">
        <f t="shared" si="4"/>
        <v/>
      </c>
      <c r="AP42" s="21"/>
      <c r="AQ42" s="52"/>
    </row>
    <row r="43" spans="1:43" hidden="1" x14ac:dyDescent="0.25">
      <c r="A43" s="53" t="str" cm="1">
        <f t="array" aca="1" ref="A43" ca="1">IFERROR(IF(AM43&gt;0,IF(_xlfn.XLOOKUP(F43,INDIRECT(B43),INDIRECT(B43),"NO")="NO","",_xlfn.XLOOKUP($C43,LUT!$B$3:$B$200,LUT!$D$3:$D$200,"")&amp;""),""),"")</f>
        <v/>
      </c>
      <c r="B43" s="54"/>
      <c r="C43" s="56"/>
      <c r="D43" s="88"/>
      <c r="E43" s="88"/>
      <c r="F43" s="55"/>
      <c r="G43" s="101"/>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8">
        <f t="shared" si="5"/>
        <v>0</v>
      </c>
      <c r="AK43" s="119">
        <f t="shared" si="6"/>
        <v>0</v>
      </c>
      <c r="AL43" s="129">
        <f t="shared" si="7"/>
        <v>0</v>
      </c>
      <c r="AM43" s="128">
        <f t="shared" si="8"/>
        <v>0</v>
      </c>
      <c r="AN43" s="50"/>
      <c r="AO43" s="51" t="str">
        <f t="shared" si="4"/>
        <v/>
      </c>
      <c r="AP43" s="21"/>
      <c r="AQ43" s="52"/>
    </row>
    <row r="44" spans="1:43" hidden="1" x14ac:dyDescent="0.25">
      <c r="A44" s="53" t="str" cm="1">
        <f t="array" aca="1" ref="A44" ca="1">IFERROR(IF(AM44&gt;0,IF(_xlfn.XLOOKUP(F44,INDIRECT(B44),INDIRECT(B44),"NO")="NO","",_xlfn.XLOOKUP($C44,LUT!$B$3:$B$200,LUT!$D$3:$D$200,"")&amp;""),""),"")</f>
        <v/>
      </c>
      <c r="B44" s="54"/>
      <c r="C44" s="56"/>
      <c r="D44" s="88"/>
      <c r="E44" s="88"/>
      <c r="F44" s="55"/>
      <c r="G44" s="101"/>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8">
        <f t="shared" si="5"/>
        <v>0</v>
      </c>
      <c r="AK44" s="119">
        <f t="shared" si="6"/>
        <v>0</v>
      </c>
      <c r="AL44" s="129">
        <f t="shared" si="7"/>
        <v>0</v>
      </c>
      <c r="AM44" s="128">
        <f t="shared" si="8"/>
        <v>0</v>
      </c>
      <c r="AN44" s="50"/>
      <c r="AO44" s="51" t="str">
        <f t="shared" si="4"/>
        <v/>
      </c>
      <c r="AP44" s="21"/>
      <c r="AQ44" s="52"/>
    </row>
    <row r="45" spans="1:43" hidden="1" x14ac:dyDescent="0.25">
      <c r="A45" s="53" t="str" cm="1">
        <f t="array" aca="1" ref="A45" ca="1">IFERROR(IF(AM45&gt;0,IF(_xlfn.XLOOKUP(F45,INDIRECT(B45),INDIRECT(B45),"NO")="NO","",_xlfn.XLOOKUP($C45,LUT!$B$3:$B$200,LUT!$D$3:$D$200,"")&amp;""),""),"")</f>
        <v/>
      </c>
      <c r="B45" s="54"/>
      <c r="C45" s="56"/>
      <c r="D45" s="88"/>
      <c r="E45" s="88"/>
      <c r="F45" s="55"/>
      <c r="G45" s="101"/>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8">
        <f t="shared" si="5"/>
        <v>0</v>
      </c>
      <c r="AK45" s="119">
        <f t="shared" si="6"/>
        <v>0</v>
      </c>
      <c r="AL45" s="129">
        <f t="shared" si="7"/>
        <v>0</v>
      </c>
      <c r="AM45" s="128">
        <f t="shared" si="8"/>
        <v>0</v>
      </c>
      <c r="AN45" s="50"/>
      <c r="AO45" s="51" t="str">
        <f t="shared" si="4"/>
        <v/>
      </c>
      <c r="AP45" s="21"/>
      <c r="AQ45" s="52"/>
    </row>
    <row r="46" spans="1:43" hidden="1" x14ac:dyDescent="0.25">
      <c r="A46" s="53" t="str" cm="1">
        <f t="array" aca="1" ref="A46" ca="1">IFERROR(IF(AM46&gt;0,IF(_xlfn.XLOOKUP(F46,INDIRECT(B46),INDIRECT(B46),"NO")="NO","",_xlfn.XLOOKUP($C46,LUT!$B$3:$B$200,LUT!$D$3:$D$200,"")&amp;""),""),"")</f>
        <v/>
      </c>
      <c r="B46" s="54"/>
      <c r="C46" s="56"/>
      <c r="D46" s="88"/>
      <c r="E46" s="88"/>
      <c r="F46" s="55"/>
      <c r="G46" s="101"/>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8">
        <f t="shared" si="5"/>
        <v>0</v>
      </c>
      <c r="AK46" s="119">
        <f t="shared" si="6"/>
        <v>0</v>
      </c>
      <c r="AL46" s="129">
        <f t="shared" si="7"/>
        <v>0</v>
      </c>
      <c r="AM46" s="128">
        <f t="shared" si="8"/>
        <v>0</v>
      </c>
      <c r="AN46" s="50"/>
      <c r="AO46" s="51" t="str">
        <f t="shared" si="4"/>
        <v/>
      </c>
      <c r="AP46" s="21"/>
      <c r="AQ46" s="52"/>
    </row>
    <row r="47" spans="1:43" hidden="1" x14ac:dyDescent="0.25">
      <c r="A47" s="53" t="str" cm="1">
        <f t="array" aca="1" ref="A47" ca="1">IFERROR(IF(AM47&gt;0,IF(_xlfn.XLOOKUP(F47,INDIRECT(B47),INDIRECT(B47),"NO")="NO","",_xlfn.XLOOKUP($C47,LUT!$B$3:$B$200,LUT!$D$3:$D$200,"")&amp;""),""),"")</f>
        <v/>
      </c>
      <c r="B47" s="54"/>
      <c r="C47" s="56"/>
      <c r="D47" s="88"/>
      <c r="E47" s="88"/>
      <c r="F47" s="55"/>
      <c r="G47" s="101"/>
      <c r="H47" s="117"/>
      <c r="I47" s="117"/>
      <c r="J47" s="117"/>
      <c r="K47" s="117"/>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8">
        <f t="shared" si="5"/>
        <v>0</v>
      </c>
      <c r="AK47" s="119">
        <f t="shared" si="6"/>
        <v>0</v>
      </c>
      <c r="AL47" s="129">
        <f t="shared" si="7"/>
        <v>0</v>
      </c>
      <c r="AM47" s="128">
        <f t="shared" si="8"/>
        <v>0</v>
      </c>
      <c r="AN47" s="50"/>
      <c r="AO47" s="51" t="str">
        <f t="shared" si="4"/>
        <v/>
      </c>
      <c r="AP47" s="21"/>
      <c r="AQ47" s="52"/>
    </row>
    <row r="48" spans="1:43" hidden="1" x14ac:dyDescent="0.25">
      <c r="A48" s="53" t="str" cm="1">
        <f t="array" aca="1" ref="A48" ca="1">IFERROR(IF(AM48&gt;0,IF(_xlfn.XLOOKUP(F48,INDIRECT(B48),INDIRECT(B48),"NO")="NO","",_xlfn.XLOOKUP($C48,LUT!$B$3:$B$200,LUT!$D$3:$D$200,"")&amp;""),""),"")</f>
        <v/>
      </c>
      <c r="B48" s="54"/>
      <c r="C48" s="56"/>
      <c r="D48" s="88"/>
      <c r="E48" s="88"/>
      <c r="F48" s="55"/>
      <c r="G48" s="101"/>
      <c r="H48" s="117"/>
      <c r="I48" s="117"/>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8">
        <f t="shared" si="5"/>
        <v>0</v>
      </c>
      <c r="AK48" s="119">
        <f t="shared" si="6"/>
        <v>0</v>
      </c>
      <c r="AL48" s="129">
        <f t="shared" si="7"/>
        <v>0</v>
      </c>
      <c r="AM48" s="128">
        <f t="shared" si="8"/>
        <v>0</v>
      </c>
      <c r="AN48" s="50"/>
      <c r="AO48" s="51" t="str">
        <f t="shared" si="4"/>
        <v/>
      </c>
      <c r="AP48" s="21"/>
      <c r="AQ48" s="52"/>
    </row>
    <row r="49" spans="1:43" hidden="1" x14ac:dyDescent="0.25">
      <c r="A49" s="53" t="str" cm="1">
        <f t="array" aca="1" ref="A49" ca="1">IFERROR(IF(AM49&gt;0,IF(_xlfn.XLOOKUP(F49,INDIRECT(B49),INDIRECT(B49),"NO")="NO","",_xlfn.XLOOKUP($C49,LUT!$B$3:$B$200,LUT!$D$3:$D$200,"")&amp;""),""),"")</f>
        <v/>
      </c>
      <c r="B49" s="54"/>
      <c r="C49" s="56"/>
      <c r="D49" s="88"/>
      <c r="E49" s="88"/>
      <c r="F49" s="55"/>
      <c r="G49" s="101"/>
      <c r="H49" s="117"/>
      <c r="I49" s="117"/>
      <c r="J49" s="117"/>
      <c r="K49" s="117"/>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c r="AI49" s="117"/>
      <c r="AJ49" s="118">
        <f t="shared" si="5"/>
        <v>0</v>
      </c>
      <c r="AK49" s="119">
        <f t="shared" si="6"/>
        <v>0</v>
      </c>
      <c r="AL49" s="129">
        <f t="shared" si="7"/>
        <v>0</v>
      </c>
      <c r="AM49" s="128">
        <f t="shared" si="8"/>
        <v>0</v>
      </c>
      <c r="AN49" s="50"/>
      <c r="AO49" s="51" t="str">
        <f t="shared" si="4"/>
        <v/>
      </c>
      <c r="AP49" s="21"/>
      <c r="AQ49" s="52"/>
    </row>
    <row r="50" spans="1:43" hidden="1" x14ac:dyDescent="0.25">
      <c r="A50" s="53" t="str" cm="1">
        <f t="array" aca="1" ref="A50" ca="1">IFERROR(IF(AM50&gt;0,IF(_xlfn.XLOOKUP(F50,INDIRECT(B50),INDIRECT(B50),"NO")="NO","",_xlfn.XLOOKUP($C50,LUT!$B$3:$B$200,LUT!$D$3:$D$200,"")&amp;""),""),"")</f>
        <v/>
      </c>
      <c r="B50" s="54"/>
      <c r="C50" s="56"/>
      <c r="D50" s="88"/>
      <c r="E50" s="88"/>
      <c r="F50" s="55"/>
      <c r="G50" s="101"/>
      <c r="H50" s="117"/>
      <c r="I50" s="117"/>
      <c r="J50" s="117"/>
      <c r="K50" s="117"/>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8">
        <f t="shared" si="5"/>
        <v>0</v>
      </c>
      <c r="AK50" s="119">
        <f t="shared" si="6"/>
        <v>0</v>
      </c>
      <c r="AL50" s="129">
        <f t="shared" si="7"/>
        <v>0</v>
      </c>
      <c r="AM50" s="128">
        <f t="shared" si="8"/>
        <v>0</v>
      </c>
      <c r="AN50" s="50"/>
      <c r="AO50" s="51" t="str">
        <f t="shared" si="4"/>
        <v/>
      </c>
      <c r="AP50" s="21"/>
      <c r="AQ50" s="52"/>
    </row>
    <row r="51" spans="1:43" hidden="1" x14ac:dyDescent="0.25">
      <c r="A51" s="53" t="str" cm="1">
        <f t="array" aca="1" ref="A51" ca="1">IFERROR(IF(AM51&gt;0,IF(_xlfn.XLOOKUP(F51,INDIRECT(B51),INDIRECT(B51),"NO")="NO","",_xlfn.XLOOKUP($C51,LUT!$B$3:$B$200,LUT!$D$3:$D$200,"")&amp;""),""),"")</f>
        <v/>
      </c>
      <c r="B51" s="54"/>
      <c r="C51" s="56"/>
      <c r="D51" s="88"/>
      <c r="E51" s="88"/>
      <c r="F51" s="55"/>
      <c r="G51" s="101"/>
      <c r="H51" s="117"/>
      <c r="I51" s="117"/>
      <c r="J51" s="117"/>
      <c r="K51" s="117"/>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8">
        <f t="shared" si="5"/>
        <v>0</v>
      </c>
      <c r="AK51" s="119">
        <f t="shared" si="6"/>
        <v>0</v>
      </c>
      <c r="AL51" s="129">
        <f t="shared" si="7"/>
        <v>0</v>
      </c>
      <c r="AM51" s="128">
        <f t="shared" si="8"/>
        <v>0</v>
      </c>
      <c r="AN51" s="50"/>
      <c r="AO51" s="51" t="str">
        <f t="shared" si="4"/>
        <v/>
      </c>
      <c r="AP51" s="21"/>
      <c r="AQ51" s="52"/>
    </row>
    <row r="52" spans="1:43" hidden="1" x14ac:dyDescent="0.25">
      <c r="A52" s="53" t="str" cm="1">
        <f t="array" aca="1" ref="A52" ca="1">IFERROR(IF(AM52&gt;0,IF(_xlfn.XLOOKUP(F52,INDIRECT(B52),INDIRECT(B52),"NO")="NO","",_xlfn.XLOOKUP($C52,LUT!$B$3:$B$200,LUT!$D$3:$D$200,"")&amp;""),""),"")</f>
        <v/>
      </c>
      <c r="B52" s="54"/>
      <c r="C52" s="56"/>
      <c r="D52" s="88"/>
      <c r="E52" s="88"/>
      <c r="F52" s="55"/>
      <c r="G52" s="101"/>
      <c r="H52" s="117"/>
      <c r="I52" s="117"/>
      <c r="J52" s="117"/>
      <c r="K52" s="117"/>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8">
        <f t="shared" si="5"/>
        <v>0</v>
      </c>
      <c r="AK52" s="119">
        <f t="shared" si="6"/>
        <v>0</v>
      </c>
      <c r="AL52" s="129">
        <f t="shared" si="7"/>
        <v>0</v>
      </c>
      <c r="AM52" s="128">
        <f t="shared" si="8"/>
        <v>0</v>
      </c>
      <c r="AN52" s="50"/>
      <c r="AO52" s="51" t="str">
        <f t="shared" si="4"/>
        <v/>
      </c>
      <c r="AP52" s="21"/>
      <c r="AQ52" s="52"/>
    </row>
    <row r="53" spans="1:43" hidden="1" x14ac:dyDescent="0.25">
      <c r="A53" s="53" t="str" cm="1">
        <f t="array" aca="1" ref="A53" ca="1">IFERROR(IF(AM53&gt;0,IF(_xlfn.XLOOKUP(F53,INDIRECT(B53),INDIRECT(B53),"NO")="NO","",_xlfn.XLOOKUP($C53,LUT!$B$3:$B$200,LUT!$D$3:$D$200,"")&amp;""),""),"")</f>
        <v/>
      </c>
      <c r="B53" s="54"/>
      <c r="C53" s="56"/>
      <c r="D53" s="88"/>
      <c r="E53" s="88"/>
      <c r="F53" s="55"/>
      <c r="G53" s="101"/>
      <c r="H53" s="117"/>
      <c r="I53" s="117"/>
      <c r="J53" s="117"/>
      <c r="K53" s="117"/>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8">
        <f t="shared" si="5"/>
        <v>0</v>
      </c>
      <c r="AK53" s="119">
        <f t="shared" si="6"/>
        <v>0</v>
      </c>
      <c r="AL53" s="129">
        <f t="shared" si="7"/>
        <v>0</v>
      </c>
      <c r="AM53" s="128">
        <f t="shared" si="8"/>
        <v>0</v>
      </c>
      <c r="AN53" s="50"/>
      <c r="AO53" s="51" t="str">
        <f t="shared" si="4"/>
        <v/>
      </c>
      <c r="AP53" s="21"/>
      <c r="AQ53" s="52"/>
    </row>
    <row r="54" spans="1:43" hidden="1" x14ac:dyDescent="0.25">
      <c r="A54" s="53" t="str" cm="1">
        <f t="array" aca="1" ref="A54" ca="1">IFERROR(IF(AM54&gt;0,IF(_xlfn.XLOOKUP(F54,INDIRECT(B54),INDIRECT(B54),"NO")="NO","",_xlfn.XLOOKUP($C54,LUT!$B$3:$B$200,LUT!$D$3:$D$200,"")&amp;""),""),"")</f>
        <v/>
      </c>
      <c r="B54" s="54"/>
      <c r="C54" s="56"/>
      <c r="D54" s="88"/>
      <c r="E54" s="88"/>
      <c r="F54" s="55"/>
      <c r="G54" s="101"/>
      <c r="H54" s="117"/>
      <c r="I54" s="117"/>
      <c r="J54" s="117"/>
      <c r="K54" s="117"/>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118">
        <f t="shared" si="5"/>
        <v>0</v>
      </c>
      <c r="AK54" s="119">
        <f t="shared" si="6"/>
        <v>0</v>
      </c>
      <c r="AL54" s="129">
        <f t="shared" si="7"/>
        <v>0</v>
      </c>
      <c r="AM54" s="128">
        <f t="shared" si="8"/>
        <v>0</v>
      </c>
      <c r="AN54" s="50"/>
      <c r="AO54" s="51" t="str">
        <f t="shared" si="4"/>
        <v/>
      </c>
      <c r="AP54" s="21"/>
      <c r="AQ54" s="52"/>
    </row>
    <row r="55" spans="1:43" hidden="1" x14ac:dyDescent="0.25">
      <c r="A55" s="53" t="str" cm="1">
        <f t="array" aca="1" ref="A55" ca="1">IFERROR(IF(AM55&gt;0,IF(_xlfn.XLOOKUP(F55,INDIRECT(B55),INDIRECT(B55),"NO")="NO","",_xlfn.XLOOKUP($C55,LUT!$B$3:$B$200,LUT!$D$3:$D$200,"")&amp;""),""),"")</f>
        <v/>
      </c>
      <c r="B55" s="54"/>
      <c r="C55" s="56"/>
      <c r="D55" s="88"/>
      <c r="E55" s="88"/>
      <c r="F55" s="55"/>
      <c r="G55" s="101"/>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8">
        <f t="shared" si="5"/>
        <v>0</v>
      </c>
      <c r="AK55" s="119">
        <f t="shared" si="6"/>
        <v>0</v>
      </c>
      <c r="AL55" s="129">
        <f t="shared" si="7"/>
        <v>0</v>
      </c>
      <c r="AM55" s="128">
        <f t="shared" si="8"/>
        <v>0</v>
      </c>
      <c r="AN55" s="50"/>
      <c r="AO55" s="51" t="str">
        <f t="shared" si="4"/>
        <v/>
      </c>
      <c r="AP55" s="21"/>
      <c r="AQ55" s="52"/>
    </row>
    <row r="56" spans="1:43" hidden="1" x14ac:dyDescent="0.25">
      <c r="A56" s="53" t="str" cm="1">
        <f t="array" aca="1" ref="A56" ca="1">IFERROR(IF(AM56&gt;0,IF(_xlfn.XLOOKUP(F56,INDIRECT(B56),INDIRECT(B56),"NO")="NO","",_xlfn.XLOOKUP($C56,LUT!$B$3:$B$200,LUT!$D$3:$D$200,"")&amp;""),""),"")</f>
        <v/>
      </c>
      <c r="B56" s="54"/>
      <c r="C56" s="56"/>
      <c r="D56" s="88"/>
      <c r="E56" s="88"/>
      <c r="F56" s="55"/>
      <c r="G56" s="101"/>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8">
        <f t="shared" si="5"/>
        <v>0</v>
      </c>
      <c r="AK56" s="119">
        <f t="shared" si="6"/>
        <v>0</v>
      </c>
      <c r="AL56" s="129">
        <f t="shared" si="7"/>
        <v>0</v>
      </c>
      <c r="AM56" s="128">
        <f t="shared" si="8"/>
        <v>0</v>
      </c>
      <c r="AN56" s="50"/>
      <c r="AO56" s="51" t="str">
        <f t="shared" si="4"/>
        <v/>
      </c>
      <c r="AP56" s="21"/>
      <c r="AQ56" s="52"/>
    </row>
    <row r="57" spans="1:43" hidden="1" x14ac:dyDescent="0.25">
      <c r="A57" s="53" t="str" cm="1">
        <f t="array" aca="1" ref="A57" ca="1">IFERROR(IF(AM57&gt;0,IF(_xlfn.XLOOKUP(F57,INDIRECT(B57),INDIRECT(B57),"NO")="NO","",_xlfn.XLOOKUP($C57,LUT!$B$3:$B$200,LUT!$D$3:$D$200,"")&amp;""),""),"")</f>
        <v/>
      </c>
      <c r="B57" s="54"/>
      <c r="C57" s="56"/>
      <c r="D57" s="88"/>
      <c r="E57" s="88"/>
      <c r="F57" s="55"/>
      <c r="G57" s="101"/>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c r="AI57" s="117"/>
      <c r="AJ57" s="118">
        <f t="shared" si="5"/>
        <v>0</v>
      </c>
      <c r="AK57" s="119">
        <f t="shared" si="6"/>
        <v>0</v>
      </c>
      <c r="AL57" s="129">
        <f t="shared" si="7"/>
        <v>0</v>
      </c>
      <c r="AM57" s="128">
        <f t="shared" si="8"/>
        <v>0</v>
      </c>
      <c r="AN57" s="50"/>
      <c r="AO57" s="51" t="str">
        <f t="shared" si="4"/>
        <v/>
      </c>
      <c r="AP57" s="21"/>
      <c r="AQ57" s="52"/>
    </row>
    <row r="58" spans="1:43" hidden="1" x14ac:dyDescent="0.25">
      <c r="A58" s="53" t="str" cm="1">
        <f t="array" aca="1" ref="A58" ca="1">IFERROR(IF(AM58&gt;0,IF(_xlfn.XLOOKUP(F58,INDIRECT(B58),INDIRECT(B58),"NO")="NO","",_xlfn.XLOOKUP($C58,LUT!$B$3:$B$200,LUT!$D$3:$D$200,"")&amp;""),""),"")</f>
        <v/>
      </c>
      <c r="B58" s="54"/>
      <c r="C58" s="56"/>
      <c r="D58" s="88"/>
      <c r="E58" s="88"/>
      <c r="F58" s="55"/>
      <c r="G58" s="101"/>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8">
        <f t="shared" si="5"/>
        <v>0</v>
      </c>
      <c r="AK58" s="119">
        <f t="shared" si="6"/>
        <v>0</v>
      </c>
      <c r="AL58" s="129">
        <f t="shared" si="7"/>
        <v>0</v>
      </c>
      <c r="AM58" s="128">
        <f t="shared" si="8"/>
        <v>0</v>
      </c>
      <c r="AN58" s="50"/>
      <c r="AO58" s="51" t="str">
        <f t="shared" si="4"/>
        <v/>
      </c>
      <c r="AP58" s="21"/>
      <c r="AQ58" s="52"/>
    </row>
    <row r="59" spans="1:43" hidden="1" x14ac:dyDescent="0.25">
      <c r="A59" s="53" t="str" cm="1">
        <f t="array" aca="1" ref="A59" ca="1">IFERROR(IF(AM59&gt;0,IF(_xlfn.XLOOKUP(F59,INDIRECT(B59),INDIRECT(B59),"NO")="NO","",_xlfn.XLOOKUP($C59,LUT!$B$3:$B$200,LUT!$D$3:$D$200,"")&amp;""),""),"")</f>
        <v/>
      </c>
      <c r="B59" s="54"/>
      <c r="C59" s="56"/>
      <c r="D59" s="88"/>
      <c r="E59" s="88"/>
      <c r="F59" s="55"/>
      <c r="G59" s="101"/>
      <c r="H59" s="117"/>
      <c r="I59" s="117"/>
      <c r="J59" s="117"/>
      <c r="K59" s="117"/>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8">
        <f t="shared" si="5"/>
        <v>0</v>
      </c>
      <c r="AK59" s="119">
        <f t="shared" si="6"/>
        <v>0</v>
      </c>
      <c r="AL59" s="129">
        <f t="shared" si="7"/>
        <v>0</v>
      </c>
      <c r="AM59" s="128">
        <f t="shared" si="8"/>
        <v>0</v>
      </c>
      <c r="AN59" s="50"/>
      <c r="AO59" s="51" t="str">
        <f t="shared" si="4"/>
        <v/>
      </c>
      <c r="AP59" s="21"/>
      <c r="AQ59" s="52"/>
    </row>
    <row r="60" spans="1:43" hidden="1" x14ac:dyDescent="0.25">
      <c r="A60" s="53" t="str" cm="1">
        <f t="array" aca="1" ref="A60" ca="1">IFERROR(IF(AM60&gt;0,IF(_xlfn.XLOOKUP(F60,INDIRECT(B60),INDIRECT(B60),"NO")="NO","",_xlfn.XLOOKUP($C60,LUT!$B$3:$B$200,LUT!$D$3:$D$200,"")&amp;""),""),"")</f>
        <v/>
      </c>
      <c r="B60" s="54"/>
      <c r="C60" s="56"/>
      <c r="D60" s="88"/>
      <c r="E60" s="88"/>
      <c r="F60" s="55"/>
      <c r="G60" s="101"/>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c r="AI60" s="117"/>
      <c r="AJ60" s="118">
        <f t="shared" si="5"/>
        <v>0</v>
      </c>
      <c r="AK60" s="119">
        <f t="shared" si="6"/>
        <v>0</v>
      </c>
      <c r="AL60" s="129">
        <f t="shared" si="7"/>
        <v>0</v>
      </c>
      <c r="AM60" s="128">
        <f t="shared" si="8"/>
        <v>0</v>
      </c>
      <c r="AN60" s="50"/>
      <c r="AO60" s="51" t="str">
        <f t="shared" si="4"/>
        <v/>
      </c>
      <c r="AP60" s="21"/>
      <c r="AQ60" s="52"/>
    </row>
    <row r="61" spans="1:43" hidden="1" x14ac:dyDescent="0.25">
      <c r="A61" s="53" t="str" cm="1">
        <f t="array" aca="1" ref="A61" ca="1">IFERROR(IF(AM61&gt;0,IF(_xlfn.XLOOKUP(F61,INDIRECT(B61),INDIRECT(B61),"NO")="NO","",_xlfn.XLOOKUP($C61,LUT!$B$3:$B$200,LUT!$D$3:$D$200,"")&amp;""),""),"")</f>
        <v/>
      </c>
      <c r="B61" s="54"/>
      <c r="C61" s="56"/>
      <c r="D61" s="88"/>
      <c r="E61" s="88"/>
      <c r="F61" s="55"/>
      <c r="G61" s="101"/>
      <c r="H61" s="117"/>
      <c r="I61" s="117"/>
      <c r="J61" s="117"/>
      <c r="K61" s="117"/>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8">
        <f t="shared" si="5"/>
        <v>0</v>
      </c>
      <c r="AK61" s="119">
        <f t="shared" si="6"/>
        <v>0</v>
      </c>
      <c r="AL61" s="129">
        <f t="shared" si="7"/>
        <v>0</v>
      </c>
      <c r="AM61" s="128">
        <f t="shared" si="8"/>
        <v>0</v>
      </c>
      <c r="AN61" s="50"/>
      <c r="AO61" s="51" t="str">
        <f t="shared" si="4"/>
        <v/>
      </c>
      <c r="AP61" s="21"/>
      <c r="AQ61" s="52"/>
    </row>
    <row r="62" spans="1:43" hidden="1" x14ac:dyDescent="0.25">
      <c r="A62" s="53" t="str" cm="1">
        <f t="array" aca="1" ref="A62" ca="1">IFERROR(IF(AM62&gt;0,IF(_xlfn.XLOOKUP(F62,INDIRECT(B62),INDIRECT(B62),"NO")="NO","",_xlfn.XLOOKUP($C62,LUT!$B$3:$B$200,LUT!$D$3:$D$200,"")&amp;""),""),"")</f>
        <v/>
      </c>
      <c r="B62" s="54"/>
      <c r="C62" s="56"/>
      <c r="D62" s="88"/>
      <c r="E62" s="88"/>
      <c r="F62" s="55"/>
      <c r="G62" s="101"/>
      <c r="H62" s="117"/>
      <c r="I62" s="117"/>
      <c r="J62" s="117"/>
      <c r="K62" s="117"/>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8">
        <f t="shared" si="5"/>
        <v>0</v>
      </c>
      <c r="AK62" s="119">
        <f t="shared" si="6"/>
        <v>0</v>
      </c>
      <c r="AL62" s="129">
        <f t="shared" si="7"/>
        <v>0</v>
      </c>
      <c r="AM62" s="128">
        <f t="shared" si="8"/>
        <v>0</v>
      </c>
      <c r="AN62" s="50"/>
      <c r="AO62" s="51" t="str">
        <f t="shared" si="4"/>
        <v/>
      </c>
      <c r="AP62" s="21"/>
      <c r="AQ62" s="52"/>
    </row>
    <row r="63" spans="1:43" hidden="1" x14ac:dyDescent="0.25">
      <c r="A63" s="53" t="str" cm="1">
        <f t="array" aca="1" ref="A63" ca="1">IFERROR(IF(AM63&gt;0,IF(_xlfn.XLOOKUP(F63,INDIRECT(B63),INDIRECT(B63),"NO")="NO","",_xlfn.XLOOKUP($C63,LUT!$B$3:$B$200,LUT!$D$3:$D$200,"")&amp;""),""),"")</f>
        <v/>
      </c>
      <c r="B63" s="54"/>
      <c r="C63" s="56"/>
      <c r="D63" s="88"/>
      <c r="E63" s="88"/>
      <c r="F63" s="55"/>
      <c r="G63" s="101"/>
      <c r="H63" s="117"/>
      <c r="I63" s="117"/>
      <c r="J63" s="117"/>
      <c r="K63" s="117"/>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c r="AI63" s="117"/>
      <c r="AJ63" s="118">
        <f t="shared" si="5"/>
        <v>0</v>
      </c>
      <c r="AK63" s="119">
        <f t="shared" si="6"/>
        <v>0</v>
      </c>
      <c r="AL63" s="129">
        <f t="shared" si="7"/>
        <v>0</v>
      </c>
      <c r="AM63" s="128">
        <f t="shared" si="8"/>
        <v>0</v>
      </c>
      <c r="AN63" s="50"/>
      <c r="AO63" s="51"/>
      <c r="AP63" s="21"/>
      <c r="AQ63" s="52"/>
    </row>
    <row r="64" spans="1:43" hidden="1" x14ac:dyDescent="0.25">
      <c r="A64" s="53" t="str" cm="1">
        <f t="array" aca="1" ref="A64" ca="1">IFERROR(IF(AM64&gt;0,IF(_xlfn.XLOOKUP(F64,INDIRECT(B64),INDIRECT(B64),"NO")="NO","",_xlfn.XLOOKUP($C64,LUT!$B$3:$B$200,LUT!$D$3:$D$200,"")&amp;""),""),"")</f>
        <v/>
      </c>
      <c r="B64" s="54"/>
      <c r="C64" s="56"/>
      <c r="D64" s="88"/>
      <c r="E64" s="88"/>
      <c r="F64" s="55"/>
      <c r="G64" s="101"/>
      <c r="H64" s="117"/>
      <c r="I64" s="117"/>
      <c r="J64" s="117"/>
      <c r="K64" s="117"/>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7"/>
      <c r="AI64" s="117"/>
      <c r="AJ64" s="118">
        <f t="shared" si="5"/>
        <v>0</v>
      </c>
      <c r="AK64" s="119">
        <f t="shared" si="6"/>
        <v>0</v>
      </c>
      <c r="AL64" s="129">
        <f t="shared" si="7"/>
        <v>0</v>
      </c>
      <c r="AM64" s="128">
        <f t="shared" si="8"/>
        <v>0</v>
      </c>
      <c r="AN64" s="50"/>
      <c r="AO64" s="51" t="str">
        <f>IF($AM64&gt;0,IF(AND($G64&lt;&gt;"",$F64&lt;&gt;"",$A64&lt;&gt;"",$B64&lt;&gt;"",$C64&lt;&gt;""),"","Check"),"")</f>
        <v/>
      </c>
      <c r="AP64" s="21"/>
      <c r="AQ64" s="52"/>
    </row>
    <row r="65" spans="1:44" x14ac:dyDescent="0.25">
      <c r="A65" s="57"/>
      <c r="B65" s="57"/>
      <c r="C65" s="57"/>
      <c r="D65" s="57"/>
      <c r="E65" s="57"/>
      <c r="F65" s="57"/>
      <c r="G65" s="57"/>
      <c r="H65" s="120"/>
      <c r="I65" s="120"/>
      <c r="J65" s="120"/>
      <c r="K65" s="120"/>
      <c r="L65" s="120"/>
      <c r="M65" s="120"/>
      <c r="N65" s="120"/>
      <c r="O65" s="120"/>
      <c r="P65" s="120"/>
      <c r="Q65" s="120"/>
      <c r="R65" s="120"/>
      <c r="S65" s="120"/>
      <c r="T65" s="120"/>
      <c r="U65" s="120"/>
      <c r="V65" s="120"/>
      <c r="W65" s="120"/>
      <c r="X65" s="120"/>
      <c r="Y65" s="120"/>
      <c r="Z65" s="120"/>
      <c r="AA65" s="120"/>
      <c r="AB65" s="120"/>
      <c r="AC65" s="120"/>
      <c r="AD65" s="120"/>
      <c r="AE65" s="120"/>
      <c r="AF65" s="120"/>
      <c r="AG65" s="121"/>
      <c r="AH65" s="121"/>
      <c r="AI65" s="121"/>
      <c r="AJ65" s="122"/>
      <c r="AK65" s="123"/>
      <c r="AL65" s="130"/>
      <c r="AM65" s="131"/>
      <c r="AN65" s="58"/>
      <c r="AO65" s="59"/>
      <c r="AP65" s="21"/>
      <c r="AQ65" s="52"/>
    </row>
    <row r="66" spans="1:44" x14ac:dyDescent="0.25">
      <c r="A66" s="225" t="s">
        <v>110</v>
      </c>
      <c r="B66" s="226"/>
      <c r="C66" s="226"/>
      <c r="D66" s="226"/>
      <c r="E66" s="227"/>
      <c r="F66" s="228" t="s">
        <v>111</v>
      </c>
      <c r="G66" s="60" t="s">
        <v>88</v>
      </c>
      <c r="H66" s="124" cm="1">
        <f t="array" aca="1" ref="H66" ca="1">SUMPRODUCT(SUBTOTAL(9,OFFSET(H$6,ROW(H$6:H$65)-ROW(H$6),)),--($G$6:$G$65=$G66))</f>
        <v>0</v>
      </c>
      <c r="I66" s="124" cm="1">
        <f t="array" aca="1" ref="I66" ca="1">SUMPRODUCT(SUBTOTAL(9,OFFSET(I$6,ROW(I$6:I$65)-ROW(I$6),)),--($G$6:$G$65=$G66))</f>
        <v>0</v>
      </c>
      <c r="J66" s="124" cm="1">
        <f t="array" aca="1" ref="J66" ca="1">SUMPRODUCT(SUBTOTAL(9,OFFSET(J$6,ROW(J$6:J$65)-ROW(J$6),)),--($G$6:$G$65=$G66))</f>
        <v>0</v>
      </c>
      <c r="K66" s="124" cm="1">
        <f t="array" aca="1" ref="K66" ca="1">SUMPRODUCT(SUBTOTAL(9,OFFSET(K$6,ROW(K$6:K$65)-ROW(K$6),)),--($G$6:$G$65=$G66))</f>
        <v>0</v>
      </c>
      <c r="L66" s="124" cm="1">
        <f t="array" aca="1" ref="L66" ca="1">SUMPRODUCT(SUBTOTAL(9,OFFSET(L$6,ROW(L$6:L$65)-ROW(L$6),)),--($G$6:$G$65=$G66))</f>
        <v>0</v>
      </c>
      <c r="M66" s="124" cm="1">
        <f t="array" aca="1" ref="M66" ca="1">SUMPRODUCT(SUBTOTAL(9,OFFSET(M$6,ROW(M$6:M$65)-ROW(M$6),)),--($G$6:$G$65=$G66))</f>
        <v>0</v>
      </c>
      <c r="N66" s="124" cm="1">
        <f t="array" aca="1" ref="N66" ca="1">SUMPRODUCT(SUBTOTAL(9,OFFSET(N$6,ROW(N$6:N$65)-ROW(N$6),)),--($G$6:$G$65=$G66))</f>
        <v>0</v>
      </c>
      <c r="O66" s="124" cm="1">
        <f t="array" aca="1" ref="O66" ca="1">SUMPRODUCT(SUBTOTAL(9,OFFSET(O$6,ROW(O$6:O$65)-ROW(O$6),)),--($G$6:$G$65=$G66))</f>
        <v>0</v>
      </c>
      <c r="P66" s="124" cm="1">
        <f t="array" aca="1" ref="P66" ca="1">SUMPRODUCT(SUBTOTAL(9,OFFSET(P$6,ROW(P$6:P$65)-ROW(P$6),)),--($G$6:$G$65=$G66))</f>
        <v>0</v>
      </c>
      <c r="Q66" s="124" cm="1">
        <f t="array" aca="1" ref="Q66" ca="1">SUMPRODUCT(SUBTOTAL(9,OFFSET(Q$6,ROW(Q$6:Q$65)-ROW(Q$6),)),--($G$6:$G$65=$G66))</f>
        <v>0</v>
      </c>
      <c r="R66" s="124" cm="1">
        <f t="array" aca="1" ref="R66" ca="1">SUMPRODUCT(SUBTOTAL(9,OFFSET(R$6,ROW(R$6:R$65)-ROW(R$6),)),--($G$6:$G$65=$G66))</f>
        <v>0</v>
      </c>
      <c r="S66" s="124" cm="1">
        <f t="array" aca="1" ref="S66" ca="1">SUMPRODUCT(SUBTOTAL(9,OFFSET(S$6,ROW(S$6:S$65)-ROW(S$6),)),--($G$6:$G$65=$G66))</f>
        <v>0</v>
      </c>
      <c r="T66" s="124" cm="1">
        <f t="array" aca="1" ref="T66" ca="1">SUMPRODUCT(SUBTOTAL(9,OFFSET(T$6,ROW(T$6:T$65)-ROW(T$6),)),--($G$6:$G$65=$G66))</f>
        <v>0</v>
      </c>
      <c r="U66" s="124" cm="1">
        <f t="array" aca="1" ref="U66" ca="1">SUMPRODUCT(SUBTOTAL(9,OFFSET(U$6,ROW(U$6:U$65)-ROW(U$6),)),--($G$6:$G$65=$G66))</f>
        <v>0</v>
      </c>
      <c r="V66" s="124" cm="1">
        <f t="array" aca="1" ref="V66" ca="1">SUMPRODUCT(SUBTOTAL(9,OFFSET(V$6,ROW(V$6:V$65)-ROW(V$6),)),--($G$6:$G$65=$G66))</f>
        <v>0</v>
      </c>
      <c r="W66" s="124" cm="1">
        <f t="array" aca="1" ref="W66" ca="1">SUMPRODUCT(SUBTOTAL(9,OFFSET(W$6,ROW(W$6:W$65)-ROW(W$6),)),--($G$6:$G$65=$G66))</f>
        <v>0</v>
      </c>
      <c r="X66" s="124" cm="1">
        <f t="array" aca="1" ref="X66" ca="1">SUMPRODUCT(SUBTOTAL(9,OFFSET(X$6,ROW(X$6:X$65)-ROW(X$6),)),--($G$6:$G$65=$G66))</f>
        <v>0</v>
      </c>
      <c r="Y66" s="124" cm="1">
        <f t="array" aca="1" ref="Y66" ca="1">SUMPRODUCT(SUBTOTAL(9,OFFSET(Y$6,ROW(Y$6:Y$65)-ROW(Y$6),)),--($G$6:$G$65=$G66))</f>
        <v>0</v>
      </c>
      <c r="Z66" s="124" cm="1">
        <f t="array" aca="1" ref="Z66" ca="1">SUMPRODUCT(SUBTOTAL(9,OFFSET(Z$6,ROW(Z$6:Z$65)-ROW(Z$6),)),--($G$6:$G$65=$G66))</f>
        <v>0</v>
      </c>
      <c r="AA66" s="124" cm="1">
        <f t="array" aca="1" ref="AA66" ca="1">SUMPRODUCT(SUBTOTAL(9,OFFSET(AA$6,ROW(AA$6:AA$65)-ROW(AA$6),)),--($G$6:$G$65=$G66))</f>
        <v>0</v>
      </c>
      <c r="AB66" s="124" cm="1">
        <f t="array" aca="1" ref="AB66" ca="1">SUMPRODUCT(SUBTOTAL(9,OFFSET(AB$6,ROW(AB$6:AB$65)-ROW(AB$6),)),--($G$6:$G$65=$G66))</f>
        <v>0</v>
      </c>
      <c r="AC66" s="124" cm="1">
        <f t="array" aca="1" ref="AC66" ca="1">SUMPRODUCT(SUBTOTAL(9,OFFSET(AC$6,ROW(AC$6:AC$65)-ROW(AC$6),)),--($G$6:$G$65=$G66))</f>
        <v>0</v>
      </c>
      <c r="AD66" s="124" cm="1">
        <f t="array" aca="1" ref="AD66" ca="1">SUMPRODUCT(SUBTOTAL(9,OFFSET(AD$6,ROW(AD$6:AD$65)-ROW(AD$6),)),--($G$6:$G$65=$G66))</f>
        <v>0</v>
      </c>
      <c r="AE66" s="124" cm="1">
        <f t="array" aca="1" ref="AE66" ca="1">SUMPRODUCT(SUBTOTAL(9,OFFSET(AE$6,ROW(AE$6:AE$65)-ROW(AE$6),)),--($G$6:$G$65=$G66))</f>
        <v>0</v>
      </c>
      <c r="AF66" s="124" cm="1">
        <f t="array" aca="1" ref="AF66" ca="1">SUMPRODUCT(SUBTOTAL(9,OFFSET(AF$6,ROW(AF$6:AF$65)-ROW(AF$6),)),--($G$6:$G$65=$G66))</f>
        <v>0</v>
      </c>
      <c r="AG66" s="124" cm="1">
        <f t="array" aca="1" ref="AG66" ca="1">SUMPRODUCT(SUBTOTAL(9,OFFSET(AG$6,ROW(AG$6:AG$65)-ROW(AG$6),)),--($G$6:$G$65=$G66))</f>
        <v>0</v>
      </c>
      <c r="AH66" s="124" cm="1">
        <f t="array" aca="1" ref="AH66" ca="1">SUMPRODUCT(SUBTOTAL(9,OFFSET(AH$6,ROW(AH$6:AH$65)-ROW(AH$6),)),--($G$6:$G$65=$G66))</f>
        <v>0</v>
      </c>
      <c r="AI66" s="124" cm="1">
        <f t="array" aca="1" ref="AI66" ca="1">SUMPRODUCT(SUBTOTAL(9,OFFSET(AI$6,ROW(AI$6:AI$65)-ROW(AI$6),)),--($G$6:$G$65=$G66))</f>
        <v>0</v>
      </c>
      <c r="AJ66" s="125" cm="1">
        <f t="array" aca="1" ref="AJ66" ca="1">SUMPRODUCT(SUBTOTAL(9,OFFSET(AJ$6,ROW(AJ$6:AJ$65)-ROW(AJ$6),)),--($G$6:$G$65=$G66))</f>
        <v>0</v>
      </c>
      <c r="AK66" s="125">
        <f t="shared" ref="AK66:AK68" ca="1" si="9">MAX(H66:AI66)</f>
        <v>0</v>
      </c>
      <c r="AL66" s="132">
        <f ca="1">IFERROR(AM66/AJ66,0)</f>
        <v>0</v>
      </c>
      <c r="AM66" s="133" cm="1">
        <f t="array" aca="1" ref="AM66" ca="1">SUMPRODUCT(SUBTOTAL(9,OFFSET(AM$6,ROW(AM$6:AM$65)-ROW(AM$6),)),--($G$6:$G$65=$G66))</f>
        <v>0</v>
      </c>
      <c r="AN66" s="111"/>
      <c r="AO66" s="112"/>
      <c r="AP66" s="61"/>
      <c r="AQ66" s="61"/>
      <c r="AR66" s="62"/>
    </row>
    <row r="67" spans="1:44" ht="15" customHeight="1" x14ac:dyDescent="0.25">
      <c r="A67" s="231" t="s">
        <v>88</v>
      </c>
      <c r="B67" s="232"/>
      <c r="C67" s="233" t="s">
        <v>112</v>
      </c>
      <c r="D67" s="233"/>
      <c r="E67" s="234"/>
      <c r="F67" s="229"/>
      <c r="G67" s="60" t="s">
        <v>65</v>
      </c>
      <c r="H67" s="124" cm="1">
        <f t="array" aca="1" ref="H67" ca="1">SUMPRODUCT(SUBTOTAL(9,OFFSET(H$6,ROW(H$6:H$65)-ROW(H$6),)),--($G$6:$G$65=$G67))</f>
        <v>0</v>
      </c>
      <c r="I67" s="124" cm="1">
        <f t="array" aca="1" ref="I67" ca="1">SUMPRODUCT(SUBTOTAL(9,OFFSET(I$6,ROW(I$6:I$65)-ROW(I$6),)),--($G$6:$G$65=$G67))</f>
        <v>0</v>
      </c>
      <c r="J67" s="124" cm="1">
        <f t="array" aca="1" ref="J67" ca="1">SUMPRODUCT(SUBTOTAL(9,OFFSET(J$6,ROW(J$6:J$65)-ROW(J$6),)),--($G$6:$G$65=$G67))</f>
        <v>4.5</v>
      </c>
      <c r="K67" s="124" cm="1">
        <f t="array" aca="1" ref="K67" ca="1">SUMPRODUCT(SUBTOTAL(9,OFFSET(K$6,ROW(K$6:K$65)-ROW(K$6),)),--($G$6:$G$65=$G67))</f>
        <v>8.6</v>
      </c>
      <c r="L67" s="124" cm="1">
        <f t="array" aca="1" ref="L67" ca="1">SUMPRODUCT(SUBTOTAL(9,OFFSET(L$6,ROW(L$6:L$65)-ROW(L$6),)),--($G$6:$G$65=$G67))</f>
        <v>27.5</v>
      </c>
      <c r="M67" s="124" cm="1">
        <f t="array" aca="1" ref="M67" ca="1">SUMPRODUCT(SUBTOTAL(9,OFFSET(M$6,ROW(M$6:M$65)-ROW(M$6),)),--($G$6:$G$65=$G67))</f>
        <v>40</v>
      </c>
      <c r="N67" s="124" cm="1">
        <f t="array" aca="1" ref="N67" ca="1">SUMPRODUCT(SUBTOTAL(9,OFFSET(N$6,ROW(N$6:N$65)-ROW(N$6),)),--($G$6:$G$65=$G67))</f>
        <v>46</v>
      </c>
      <c r="O67" s="124" cm="1">
        <f t="array" aca="1" ref="O67" ca="1">SUMPRODUCT(SUBTOTAL(9,OFFSET(O$6,ROW(O$6:O$65)-ROW(O$6),)),--($G$6:$G$65=$G67))</f>
        <v>50.5</v>
      </c>
      <c r="P67" s="124" cm="1">
        <f t="array" aca="1" ref="P67" ca="1">SUMPRODUCT(SUBTOTAL(9,OFFSET(P$6,ROW(P$6:P$65)-ROW(P$6),)),--($G$6:$G$65=$G67))</f>
        <v>54.5</v>
      </c>
      <c r="Q67" s="124" cm="1">
        <f t="array" aca="1" ref="Q67" ca="1">SUMPRODUCT(SUBTOTAL(9,OFFSET(Q$6,ROW(Q$6:Q$65)-ROW(Q$6),)),--($G$6:$G$65=$G67))</f>
        <v>72</v>
      </c>
      <c r="R67" s="124" cm="1">
        <f t="array" aca="1" ref="R67" ca="1">SUMPRODUCT(SUBTOTAL(9,OFFSET(R$6,ROW(R$6:R$65)-ROW(R$6),)),--($G$6:$G$65=$G67))</f>
        <v>71.999999999999986</v>
      </c>
      <c r="S67" s="124" cm="1">
        <f t="array" aca="1" ref="S67" ca="1">SUMPRODUCT(SUBTOTAL(9,OFFSET(S$6,ROW(S$6:S$65)-ROW(S$6),)),--($G$6:$G$65=$G67))</f>
        <v>72.5</v>
      </c>
      <c r="T67" s="124" cm="1">
        <f t="array" aca="1" ref="T67" ca="1">SUMPRODUCT(SUBTOTAL(9,OFFSET(T$6,ROW(T$6:T$65)-ROW(T$6),)),--($G$6:$G$65=$G67))</f>
        <v>55.5</v>
      </c>
      <c r="U67" s="124" cm="1">
        <f t="array" aca="1" ref="U67" ca="1">SUMPRODUCT(SUBTOTAL(9,OFFSET(U$6,ROW(U$6:U$65)-ROW(U$6),)),--($G$6:$G$65=$G67))</f>
        <v>50.5</v>
      </c>
      <c r="V67" s="124" cm="1">
        <f t="array" aca="1" ref="V67" ca="1">SUMPRODUCT(SUBTOTAL(9,OFFSET(V$6,ROW(V$6:V$65)-ROW(V$6),)),--($G$6:$G$65=$G67))</f>
        <v>42.5</v>
      </c>
      <c r="W67" s="124" cm="1">
        <f t="array" aca="1" ref="W67" ca="1">SUMPRODUCT(SUBTOTAL(9,OFFSET(W$6,ROW(W$6:W$65)-ROW(W$6),)),--($G$6:$G$65=$G67))</f>
        <v>31</v>
      </c>
      <c r="X67" s="124" cm="1">
        <f t="array" aca="1" ref="X67" ca="1">SUMPRODUCT(SUBTOTAL(9,OFFSET(X$6,ROW(X$6:X$65)-ROW(X$6),)),--($G$6:$G$65=$G67))</f>
        <v>7</v>
      </c>
      <c r="Y67" s="124" cm="1">
        <f t="array" aca="1" ref="Y67" ca="1">SUMPRODUCT(SUBTOTAL(9,OFFSET(Y$6,ROW(Y$6:Y$65)-ROW(Y$6),)),--($G$6:$G$65=$G67))</f>
        <v>0</v>
      </c>
      <c r="Z67" s="124" cm="1">
        <f t="array" aca="1" ref="Z67" ca="1">SUMPRODUCT(SUBTOTAL(9,OFFSET(Z$6,ROW(Z$6:Z$65)-ROW(Z$6),)),--($G$6:$G$65=$G67))</f>
        <v>0</v>
      </c>
      <c r="AA67" s="124" cm="1">
        <f t="array" aca="1" ref="AA67" ca="1">SUMPRODUCT(SUBTOTAL(9,OFFSET(AA$6,ROW(AA$6:AA$65)-ROW(AA$6),)),--($G$6:$G$65=$G67))</f>
        <v>0</v>
      </c>
      <c r="AB67" s="124" cm="1">
        <f t="array" aca="1" ref="AB67" ca="1">SUMPRODUCT(SUBTOTAL(9,OFFSET(AB$6,ROW(AB$6:AB$65)-ROW(AB$6),)),--($G$6:$G$65=$G67))</f>
        <v>0</v>
      </c>
      <c r="AC67" s="124" cm="1">
        <f t="array" aca="1" ref="AC67" ca="1">SUMPRODUCT(SUBTOTAL(9,OFFSET(AC$6,ROW(AC$6:AC$65)-ROW(AC$6),)),--($G$6:$G$65=$G67))</f>
        <v>0</v>
      </c>
      <c r="AD67" s="124" cm="1">
        <f t="array" aca="1" ref="AD67" ca="1">SUMPRODUCT(SUBTOTAL(9,OFFSET(AD$6,ROW(AD$6:AD$65)-ROW(AD$6),)),--($G$6:$G$65=$G67))</f>
        <v>0</v>
      </c>
      <c r="AE67" s="124" cm="1">
        <f t="array" aca="1" ref="AE67" ca="1">SUMPRODUCT(SUBTOTAL(9,OFFSET(AE$6,ROW(AE$6:AE$65)-ROW(AE$6),)),--($G$6:$G$65=$G67))</f>
        <v>0</v>
      </c>
      <c r="AF67" s="124" cm="1">
        <f t="array" aca="1" ref="AF67" ca="1">SUMPRODUCT(SUBTOTAL(9,OFFSET(AF$6,ROW(AF$6:AF$65)-ROW(AF$6),)),--($G$6:$G$65=$G67))</f>
        <v>0</v>
      </c>
      <c r="AG67" s="124" cm="1">
        <f t="array" aca="1" ref="AG67" ca="1">SUMPRODUCT(SUBTOTAL(9,OFFSET(AG$6,ROW(AG$6:AG$65)-ROW(AG$6),)),--($G$6:$G$65=$G67))</f>
        <v>0</v>
      </c>
      <c r="AH67" s="124" cm="1">
        <f t="array" aca="1" ref="AH67" ca="1">SUMPRODUCT(SUBTOTAL(9,OFFSET(AH$6,ROW(AH$6:AH$65)-ROW(AH$6),)),--($G$6:$G$65=$G67))</f>
        <v>0</v>
      </c>
      <c r="AI67" s="124" cm="1">
        <f t="array" aca="1" ref="AI67" ca="1">SUMPRODUCT(SUBTOTAL(9,OFFSET(AI$6,ROW(AI$6:AI$65)-ROW(AI$6),)),--($G$6:$G$65=$G67))</f>
        <v>0</v>
      </c>
      <c r="AJ67" s="125" cm="1">
        <f t="array" aca="1" ref="AJ67" ca="1">SUMPRODUCT(SUBTOTAL(9,OFFSET(AJ$6,ROW(AJ$6:AJ$65)-ROW(AJ$6),)),--($G$6:$G$65=$G67))</f>
        <v>634.6</v>
      </c>
      <c r="AK67" s="125">
        <f t="shared" ca="1" si="9"/>
        <v>72.5</v>
      </c>
      <c r="AL67" s="134">
        <f ca="1">IFERROR(AM67/AJ67,0)</f>
        <v>30001.157719096525</v>
      </c>
      <c r="AM67" s="133" cm="1">
        <f t="array" aca="1" ref="AM67" ca="1">SUMPRODUCT(SUBTOTAL(9,OFFSET(AM$6,ROW(AM$6:AM$65)-ROW(AM$6),)),--($G$6:$G$65=$G67))</f>
        <v>19038734.688538656</v>
      </c>
      <c r="AN67" s="113"/>
      <c r="AO67" s="114"/>
      <c r="AP67" s="61"/>
      <c r="AQ67" s="61"/>
      <c r="AR67" s="62"/>
    </row>
    <row r="68" spans="1:44" ht="15" customHeight="1" x14ac:dyDescent="0.25">
      <c r="A68" s="231"/>
      <c r="B68" s="232"/>
      <c r="C68" s="237" t="s">
        <v>113</v>
      </c>
      <c r="D68" s="237"/>
      <c r="E68" s="238"/>
      <c r="F68" s="230"/>
      <c r="G68" s="60" t="s">
        <v>114</v>
      </c>
      <c r="H68" s="125">
        <f t="shared" ref="H68:AJ68" ca="1" si="10">SUM(H66:H67)</f>
        <v>0</v>
      </c>
      <c r="I68" s="125">
        <f t="shared" ca="1" si="10"/>
        <v>0</v>
      </c>
      <c r="J68" s="125">
        <f t="shared" ca="1" si="10"/>
        <v>4.5</v>
      </c>
      <c r="K68" s="125">
        <f t="shared" ca="1" si="10"/>
        <v>8.6</v>
      </c>
      <c r="L68" s="125">
        <f t="shared" ca="1" si="10"/>
        <v>27.5</v>
      </c>
      <c r="M68" s="125">
        <f t="shared" ca="1" si="10"/>
        <v>40</v>
      </c>
      <c r="N68" s="125">
        <f t="shared" ca="1" si="10"/>
        <v>46</v>
      </c>
      <c r="O68" s="125">
        <f t="shared" ca="1" si="10"/>
        <v>50.5</v>
      </c>
      <c r="P68" s="125">
        <f t="shared" ca="1" si="10"/>
        <v>54.5</v>
      </c>
      <c r="Q68" s="125">
        <f t="shared" ca="1" si="10"/>
        <v>72</v>
      </c>
      <c r="R68" s="125">
        <f t="shared" ca="1" si="10"/>
        <v>71.999999999999986</v>
      </c>
      <c r="S68" s="125">
        <f t="shared" ca="1" si="10"/>
        <v>72.5</v>
      </c>
      <c r="T68" s="125">
        <f t="shared" ca="1" si="10"/>
        <v>55.5</v>
      </c>
      <c r="U68" s="125">
        <f t="shared" ca="1" si="10"/>
        <v>50.5</v>
      </c>
      <c r="V68" s="125">
        <f t="shared" ca="1" si="10"/>
        <v>42.5</v>
      </c>
      <c r="W68" s="125">
        <f t="shared" ca="1" si="10"/>
        <v>31</v>
      </c>
      <c r="X68" s="125">
        <f t="shared" ca="1" si="10"/>
        <v>7</v>
      </c>
      <c r="Y68" s="125">
        <f t="shared" ca="1" si="10"/>
        <v>0</v>
      </c>
      <c r="Z68" s="125">
        <f t="shared" ca="1" si="10"/>
        <v>0</v>
      </c>
      <c r="AA68" s="125">
        <f t="shared" ca="1" si="10"/>
        <v>0</v>
      </c>
      <c r="AB68" s="125">
        <f t="shared" ca="1" si="10"/>
        <v>0</v>
      </c>
      <c r="AC68" s="125">
        <f t="shared" ca="1" si="10"/>
        <v>0</v>
      </c>
      <c r="AD68" s="125">
        <f t="shared" ca="1" si="10"/>
        <v>0</v>
      </c>
      <c r="AE68" s="125">
        <f t="shared" ca="1" si="10"/>
        <v>0</v>
      </c>
      <c r="AF68" s="125">
        <f t="shared" ca="1" si="10"/>
        <v>0</v>
      </c>
      <c r="AG68" s="125">
        <f t="shared" ca="1" si="10"/>
        <v>0</v>
      </c>
      <c r="AH68" s="125">
        <f t="shared" ca="1" si="10"/>
        <v>0</v>
      </c>
      <c r="AI68" s="125">
        <f t="shared" ca="1" si="10"/>
        <v>0</v>
      </c>
      <c r="AJ68" s="125">
        <f t="shared" ca="1" si="10"/>
        <v>634.6</v>
      </c>
      <c r="AK68" s="125">
        <f t="shared" ca="1" si="9"/>
        <v>72.5</v>
      </c>
      <c r="AL68" s="134">
        <f ca="1">IFERROR(AM68/AJ68,0)</f>
        <v>30001.157719096525</v>
      </c>
      <c r="AM68" s="133">
        <f ca="1">SUM(AM66:AM67)</f>
        <v>19038734.688538656</v>
      </c>
      <c r="AN68" s="113"/>
      <c r="AO68" s="114"/>
      <c r="AP68" s="61"/>
      <c r="AQ68" s="61"/>
      <c r="AR68" s="62"/>
    </row>
    <row r="69" spans="1:44" x14ac:dyDescent="0.25">
      <c r="A69" s="161"/>
      <c r="B69" s="162"/>
      <c r="C69" s="237"/>
      <c r="D69" s="237"/>
      <c r="E69" s="238"/>
      <c r="F69" s="239" t="s">
        <v>115</v>
      </c>
      <c r="G69" s="63" t="s">
        <v>88</v>
      </c>
      <c r="H69" s="126" cm="1">
        <f t="array" aca="1" ref="H69" ca="1">SUMPRODUCT(SUBTOTAL(9,OFFSET(H$6,ROW(H$6:H$65)-ROW(H$6),)),--($G$6:$G$65=$G66),$AL$6:$AL$65)</f>
        <v>0</v>
      </c>
      <c r="I69" s="126" cm="1">
        <f t="array" aca="1" ref="I69" ca="1">SUMPRODUCT(SUBTOTAL(9,OFFSET(I$6,ROW(I$6:I$65)-ROW(I$6),)),--($G$6:$G$65=$G66),$AL$6:$AL$65)</f>
        <v>0</v>
      </c>
      <c r="J69" s="126" cm="1">
        <f t="array" aca="1" ref="J69" ca="1">SUMPRODUCT(SUBTOTAL(9,OFFSET(J$6,ROW(J$6:J$65)-ROW(J$6),)),--($G$6:$G$65=$G66),$AL$6:$AL$65)</f>
        <v>0</v>
      </c>
      <c r="K69" s="126" cm="1">
        <f t="array" aca="1" ref="K69" ca="1">SUMPRODUCT(SUBTOTAL(9,OFFSET(K$6,ROW(K$6:K$65)-ROW(K$6),)),--($G$6:$G$65=$G66),$AL$6:$AL$65)</f>
        <v>0</v>
      </c>
      <c r="L69" s="126" cm="1">
        <f t="array" aca="1" ref="L69" ca="1">SUMPRODUCT(SUBTOTAL(9,OFFSET(L$6,ROW(L$6:L$65)-ROW(L$6),)),--($G$6:$G$65=$G66),$AL$6:$AL$65)</f>
        <v>0</v>
      </c>
      <c r="M69" s="126" cm="1">
        <f t="array" aca="1" ref="M69" ca="1">SUMPRODUCT(SUBTOTAL(9,OFFSET(M$6,ROW(M$6:M$65)-ROW(M$6),)),--($G$6:$G$65=$G66),$AL$6:$AL$65)</f>
        <v>0</v>
      </c>
      <c r="N69" s="126" cm="1">
        <f t="array" aca="1" ref="N69" ca="1">SUMPRODUCT(SUBTOTAL(9,OFFSET(N$6,ROW(N$6:N$65)-ROW(N$6),)),--($G$6:$G$65=$G66),$AL$6:$AL$65)</f>
        <v>0</v>
      </c>
      <c r="O69" s="126" cm="1">
        <f t="array" aca="1" ref="O69" ca="1">SUMPRODUCT(SUBTOTAL(9,OFFSET(O$6,ROW(O$6:O$65)-ROW(O$6),)),--($G$6:$G$65=$G66),$AL$6:$AL$65)</f>
        <v>0</v>
      </c>
      <c r="P69" s="126" cm="1">
        <f t="array" aca="1" ref="P69" ca="1">SUMPRODUCT(SUBTOTAL(9,OFFSET(P$6,ROW(P$6:P$65)-ROW(P$6),)),--($G$6:$G$65=$G66),$AL$6:$AL$65)</f>
        <v>0</v>
      </c>
      <c r="Q69" s="126" cm="1">
        <f t="array" aca="1" ref="Q69" ca="1">SUMPRODUCT(SUBTOTAL(9,OFFSET(Q$6,ROW(Q$6:Q$65)-ROW(Q$6),)),--($G$6:$G$65=$G66),$AL$6:$AL$65)</f>
        <v>0</v>
      </c>
      <c r="R69" s="126" cm="1">
        <f t="array" aca="1" ref="R69" ca="1">SUMPRODUCT(SUBTOTAL(9,OFFSET(R$6,ROW(R$6:R$65)-ROW(R$6),)),--($G$6:$G$65=$G66),$AL$6:$AL$65)</f>
        <v>0</v>
      </c>
      <c r="S69" s="126" cm="1">
        <f t="array" aca="1" ref="S69" ca="1">SUMPRODUCT(SUBTOTAL(9,OFFSET(S$6,ROW(S$6:S$65)-ROW(S$6),)),--($G$6:$G$65=$G66),$AL$6:$AL$65)</f>
        <v>0</v>
      </c>
      <c r="T69" s="126" cm="1">
        <f t="array" aca="1" ref="T69" ca="1">SUMPRODUCT(SUBTOTAL(9,OFFSET(T$6,ROW(T$6:T$65)-ROW(T$6),)),--($G$6:$G$65=$G66),$AL$6:$AL$65)</f>
        <v>0</v>
      </c>
      <c r="U69" s="126" cm="1">
        <f t="array" aca="1" ref="U69" ca="1">SUMPRODUCT(SUBTOTAL(9,OFFSET(U$6,ROW(U$6:U$65)-ROW(U$6),)),--($G$6:$G$65=$G66),$AL$6:$AL$65)</f>
        <v>0</v>
      </c>
      <c r="V69" s="126" cm="1">
        <f t="array" aca="1" ref="V69" ca="1">SUMPRODUCT(SUBTOTAL(9,OFFSET(V$6,ROW(V$6:V$65)-ROW(V$6),)),--($G$6:$G$65=$G66),$AL$6:$AL$65)</f>
        <v>0</v>
      </c>
      <c r="W69" s="126" cm="1">
        <f t="array" aca="1" ref="W69" ca="1">SUMPRODUCT(SUBTOTAL(9,OFFSET(W$6,ROW(W$6:W$65)-ROW(W$6),)),--($G$6:$G$65=$G66),$AL$6:$AL$65)</f>
        <v>0</v>
      </c>
      <c r="X69" s="126" cm="1">
        <f t="array" aca="1" ref="X69" ca="1">SUMPRODUCT(SUBTOTAL(9,OFFSET(X$6,ROW(X$6:X$65)-ROW(X$6),)),--($G$6:$G$65=$G66),$AL$6:$AL$65)</f>
        <v>0</v>
      </c>
      <c r="Y69" s="126" cm="1">
        <f t="array" aca="1" ref="Y69" ca="1">SUMPRODUCT(SUBTOTAL(9,OFFSET(Y$6,ROW(Y$6:Y$65)-ROW(Y$6),)),--($G$6:$G$65=$G66),$AL$6:$AL$65)</f>
        <v>0</v>
      </c>
      <c r="Z69" s="126" cm="1">
        <f t="array" aca="1" ref="Z69" ca="1">SUMPRODUCT(SUBTOTAL(9,OFFSET(Z$6,ROW(Z$6:Z$65)-ROW(Z$6),)),--($G$6:$G$65=$G66),$AL$6:$AL$65)</f>
        <v>0</v>
      </c>
      <c r="AA69" s="126" cm="1">
        <f t="array" aca="1" ref="AA69" ca="1">SUMPRODUCT(SUBTOTAL(9,OFFSET(AA$6,ROW(AA$6:AA$65)-ROW(AA$6),)),--($G$6:$G$65=$G66),$AL$6:$AL$65)</f>
        <v>0</v>
      </c>
      <c r="AB69" s="126" cm="1">
        <f t="array" aca="1" ref="AB69" ca="1">SUMPRODUCT(SUBTOTAL(9,OFFSET(AB$6,ROW(AB$6:AB$65)-ROW(AB$6),)),--($G$6:$G$65=$G66),$AL$6:$AL$65)</f>
        <v>0</v>
      </c>
      <c r="AC69" s="126" cm="1">
        <f t="array" aca="1" ref="AC69" ca="1">SUMPRODUCT(SUBTOTAL(9,OFFSET(AC$6,ROW(AC$6:AC$65)-ROW(AC$6),)),--($G$6:$G$65=$G66),$AL$6:$AL$65)</f>
        <v>0</v>
      </c>
      <c r="AD69" s="126" cm="1">
        <f t="array" aca="1" ref="AD69" ca="1">SUMPRODUCT(SUBTOTAL(9,OFFSET(AD$6,ROW(AD$6:AD$65)-ROW(AD$6),)),--($G$6:$G$65=$G66),$AL$6:$AL$65)</f>
        <v>0</v>
      </c>
      <c r="AE69" s="126" cm="1">
        <f t="array" aca="1" ref="AE69" ca="1">SUMPRODUCT(SUBTOTAL(9,OFFSET(AE$6,ROW(AE$6:AE$65)-ROW(AE$6),)),--($G$6:$G$65=$G66),$AL$6:$AL$65)</f>
        <v>0</v>
      </c>
      <c r="AF69" s="126" cm="1">
        <f t="array" aca="1" ref="AF69" ca="1">SUMPRODUCT(SUBTOTAL(9,OFFSET(AF$6,ROW(AF$6:AF$65)-ROW(AF$6),)),--($G$6:$G$65=$G66),$AL$6:$AL$65)</f>
        <v>0</v>
      </c>
      <c r="AG69" s="126" cm="1">
        <f t="array" aca="1" ref="AG69" ca="1">SUMPRODUCT(SUBTOTAL(9,OFFSET(AG$6,ROW(AG$6:AG$65)-ROW(AG$6),)),--($G$6:$G$65=$G66),$AL$6:$AL$65)</f>
        <v>0</v>
      </c>
      <c r="AH69" s="126" cm="1">
        <f t="array" aca="1" ref="AH69" ca="1">SUMPRODUCT(SUBTOTAL(9,OFFSET(AH$6,ROW(AH$6:AH$65)-ROW(AH$6),)),--($G$6:$G$65=$G66),$AL$6:$AL$65)</f>
        <v>0</v>
      </c>
      <c r="AI69" s="126" cm="1">
        <f t="array" aca="1" ref="AI69" ca="1">SUMPRODUCT(SUBTOTAL(9,OFFSET(AI$6,ROW(AI$6:AI$65)-ROW(AI$6),)),--($G$6:$G$65=$G66),$AL$6:$AL$65)</f>
        <v>0</v>
      </c>
      <c r="AJ69" s="149"/>
      <c r="AK69" s="149"/>
      <c r="AL69" s="135"/>
      <c r="AM69" s="136">
        <f ca="1">SUM(H69:AI69)</f>
        <v>0</v>
      </c>
      <c r="AN69" s="113"/>
      <c r="AO69" s="114"/>
    </row>
    <row r="70" spans="1:44" x14ac:dyDescent="0.25">
      <c r="A70" s="231" t="s">
        <v>65</v>
      </c>
      <c r="B70" s="232"/>
      <c r="C70" s="233" t="s">
        <v>116</v>
      </c>
      <c r="D70" s="233"/>
      <c r="E70" s="234"/>
      <c r="F70" s="240"/>
      <c r="G70" s="63" t="s">
        <v>65</v>
      </c>
      <c r="H70" s="126" cm="1">
        <f t="array" aca="1" ref="H70" ca="1">SUMPRODUCT(SUBTOTAL(9,OFFSET(H$6,ROW(H$6:H$65)-ROW(H$6),)),--($G$6:$G$65=$G67),$AL$6:$AL$65)</f>
        <v>0</v>
      </c>
      <c r="I70" s="126" cm="1">
        <f t="array" aca="1" ref="I70" ca="1">SUMPRODUCT(SUBTOTAL(9,OFFSET(I$6,ROW(I$6:I$65)-ROW(I$6),)),--($G$6:$G$65=$G67),$AL$6:$AL$65)</f>
        <v>0</v>
      </c>
      <c r="J70" s="126" cm="1">
        <f t="array" aca="1" ref="J70" ca="1">SUMPRODUCT(SUBTOTAL(9,OFFSET(J$6,ROW(J$6:J$65)-ROW(J$6),)),--($G$6:$G$65=$G67),$AL$6:$AL$65)</f>
        <v>125601.48039249048</v>
      </c>
      <c r="K70" s="126" cm="1">
        <f t="array" aca="1" ref="K70" ca="1">SUMPRODUCT(SUBTOTAL(9,OFFSET(K$6,ROW(K$6:K$65)-ROW(K$6),)),--($G$6:$G$65=$G67),$AL$6:$AL$65)</f>
        <v>250030.05388925795</v>
      </c>
      <c r="L70" s="126" cm="1">
        <f t="array" aca="1" ref="L70" ca="1">SUMPRODUCT(SUBTOTAL(9,OFFSET(L$6,ROW(L$6:L$65)-ROW(L$6),)),--($G$6:$G$65=$G67),$AL$6:$AL$65)</f>
        <v>826536.97360369854</v>
      </c>
      <c r="M70" s="126" cm="1">
        <f t="array" aca="1" ref="M70" ca="1">SUMPRODUCT(SUBTOTAL(9,OFFSET(M$6,ROW(M$6:M$65)-ROW(M$6),)),--($G$6:$G$65=$G67),$AL$6:$AL$65)</f>
        <v>1209297.345936673</v>
      </c>
      <c r="N70" s="126" cm="1">
        <f t="array" aca="1" ref="N70" ca="1">SUMPRODUCT(SUBTOTAL(9,OFFSET(N$6,ROW(N$6:N$65)-ROW(N$6),)),--($G$6:$G$65=$G67),$AL$6:$AL$65)</f>
        <v>1395297.345936673</v>
      </c>
      <c r="O70" s="126" cm="1">
        <f t="array" aca="1" ref="O70" ca="1">SUMPRODUCT(SUBTOTAL(9,OFFSET(O$6,ROW(O$6:O$65)-ROW(O$6),)),--($G$6:$G$65=$G67),$AL$6:$AL$65)</f>
        <v>1534366.4706942162</v>
      </c>
      <c r="P70" s="126" cm="1">
        <f t="array" aca="1" ref="P70" ca="1">SUMPRODUCT(SUBTOTAL(9,OFFSET(P$6,ROW(P$6:P$65)-ROW(P$6),)),--($G$6:$G$65=$G67),$AL$6:$AL$65)</f>
        <v>1654919.4687545609</v>
      </c>
      <c r="Q70" s="126" cm="1">
        <f t="array" aca="1" ref="Q70" ca="1">SUMPRODUCT(SUBTOTAL(9,OFFSET(Q$6,ROW(Q$6:Q$65)-ROW(Q$6),)),--($G$6:$G$65=$G67),$AL$6:$AL$65)</f>
        <v>2165758.7437425428</v>
      </c>
      <c r="R70" s="126" cm="1">
        <f t="array" aca="1" ref="R70" ca="1">SUMPRODUCT(SUBTOTAL(9,OFFSET(R$6,ROW(R$6:R$65)-ROW(R$6),)),--($G$6:$G$65=$G67),$AL$6:$AL$65)</f>
        <v>2162895.7030495722</v>
      </c>
      <c r="S70" s="126" cm="1">
        <f t="array" aca="1" ref="S70" ca="1">SUMPRODUCT(SUBTOTAL(9,OFFSET(S$6,ROW(S$6:S$65)-ROW(S$6),)),--($G$6:$G$65=$G67),$AL$6:$AL$65)</f>
        <v>2169375.7057282031</v>
      </c>
      <c r="T70" s="126" cm="1">
        <f t="array" aca="1" ref="T70" ca="1">SUMPRODUCT(SUBTOTAL(9,OFFSET(T$6,ROW(T$6:T$65)-ROW(T$6),)),--($G$6:$G$65=$G67),$AL$6:$AL$65)</f>
        <v>1657025.4639717361</v>
      </c>
      <c r="U70" s="126" cm="1">
        <f t="array" aca="1" ref="U70" ca="1">SUMPRODUCT(SUBTOTAL(9,OFFSET(U$6,ROW(U$6:U$65)-ROW(U$6),)),--($G$6:$G$65=$G67),$AL$6:$AL$65)</f>
        <v>1502025.4639717361</v>
      </c>
      <c r="V70" s="126" cm="1">
        <f t="array" aca="1" ref="V70" ca="1">SUMPRODUCT(SUBTOTAL(9,OFFSET(V$6,ROW(V$6:V$65)-ROW(V$6),)),--($G$6:$G$65=$G67),$AL$6:$AL$65)</f>
        <v>1266061.5879903033</v>
      </c>
      <c r="W70" s="126" cm="1">
        <f t="array" aca="1" ref="W70" ca="1">SUMPRODUCT(SUBTOTAL(9,OFFSET(W$6,ROW(W$6:W$65)-ROW(W$6),)),--($G$6:$G$65=$G67),$AL$6:$AL$65)</f>
        <v>925753.37842921191</v>
      </c>
      <c r="X70" s="126" cm="1">
        <f t="array" aca="1" ref="X70" ca="1">SUMPRODUCT(SUBTOTAL(9,OFFSET(X$6,ROW(X$6:X$65)-ROW(X$6),)),--($G$6:$G$65=$G67),$AL$6:$AL$65)</f>
        <v>193789.50244777917</v>
      </c>
      <c r="Y70" s="126" cm="1">
        <f t="array" aca="1" ref="Y70" ca="1">SUMPRODUCT(SUBTOTAL(9,OFFSET(Y$6,ROW(Y$6:Y$65)-ROW(Y$6),)),--($G$6:$G$65=$G67),$AL$6:$AL$65)</f>
        <v>0</v>
      </c>
      <c r="Z70" s="126" cm="1">
        <f t="array" aca="1" ref="Z70" ca="1">SUMPRODUCT(SUBTOTAL(9,OFFSET(Z$6,ROW(Z$6:Z$65)-ROW(Z$6),)),--($G$6:$G$65=$G67),$AL$6:$AL$65)</f>
        <v>0</v>
      </c>
      <c r="AA70" s="126" cm="1">
        <f t="array" aca="1" ref="AA70" ca="1">SUMPRODUCT(SUBTOTAL(9,OFFSET(AA$6,ROW(AA$6:AA$65)-ROW(AA$6),)),--($G$6:$G$65=$G67),$AL$6:$AL$65)</f>
        <v>0</v>
      </c>
      <c r="AB70" s="126" cm="1">
        <f t="array" aca="1" ref="AB70" ca="1">SUMPRODUCT(SUBTOTAL(9,OFFSET(AB$6,ROW(AB$6:AB$65)-ROW(AB$6),)),--($G$6:$G$65=$G67),$AL$6:$AL$65)</f>
        <v>0</v>
      </c>
      <c r="AC70" s="126" cm="1">
        <f t="array" aca="1" ref="AC70" ca="1">SUMPRODUCT(SUBTOTAL(9,OFFSET(AC$6,ROW(AC$6:AC$65)-ROW(AC$6),)),--($G$6:$G$65=$G67),$AL$6:$AL$65)</f>
        <v>0</v>
      </c>
      <c r="AD70" s="126" cm="1">
        <f t="array" aca="1" ref="AD70" ca="1">SUMPRODUCT(SUBTOTAL(9,OFFSET(AD$6,ROW(AD$6:AD$65)-ROW(AD$6),)),--($G$6:$G$65=$G67),$AL$6:$AL$65)</f>
        <v>0</v>
      </c>
      <c r="AE70" s="126" cm="1">
        <f t="array" aca="1" ref="AE70" ca="1">SUMPRODUCT(SUBTOTAL(9,OFFSET(AE$6,ROW(AE$6:AE$65)-ROW(AE$6),)),--($G$6:$G$65=$G67),$AL$6:$AL$65)</f>
        <v>0</v>
      </c>
      <c r="AF70" s="126" cm="1">
        <f t="array" aca="1" ref="AF70" ca="1">SUMPRODUCT(SUBTOTAL(9,OFFSET(AF$6,ROW(AF$6:AF$65)-ROW(AF$6),)),--($G$6:$G$65=$G67),$AL$6:$AL$65)</f>
        <v>0</v>
      </c>
      <c r="AG70" s="126" cm="1">
        <f t="array" aca="1" ref="AG70" ca="1">SUMPRODUCT(SUBTOTAL(9,OFFSET(AG$6,ROW(AG$6:AG$65)-ROW(AG$6),)),--($G$6:$G$65=$G67),$AL$6:$AL$65)</f>
        <v>0</v>
      </c>
      <c r="AH70" s="126" cm="1">
        <f t="array" aca="1" ref="AH70" ca="1">SUMPRODUCT(SUBTOTAL(9,OFFSET(AH$6,ROW(AH$6:AH$65)-ROW(AH$6),)),--($G$6:$G$65=$G67),$AL$6:$AL$65)</f>
        <v>0</v>
      </c>
      <c r="AI70" s="126" cm="1">
        <f t="array" aca="1" ref="AI70" ca="1">SUMPRODUCT(SUBTOTAL(9,OFFSET(AI$6,ROW(AI$6:AI$65)-ROW(AI$6),)),--($G$6:$G$65=$G67),$AL$6:$AL$65)</f>
        <v>0</v>
      </c>
      <c r="AJ70" s="149"/>
      <c r="AK70" s="149"/>
      <c r="AL70" s="135"/>
      <c r="AM70" s="136">
        <f ca="1">SUM(H70:AI70)</f>
        <v>19038734.688538656</v>
      </c>
      <c r="AN70" s="113"/>
      <c r="AO70" s="114"/>
    </row>
    <row r="71" spans="1:44" x14ac:dyDescent="0.25">
      <c r="A71" s="160"/>
      <c r="B71" s="159"/>
      <c r="C71" s="237" t="s">
        <v>117</v>
      </c>
      <c r="D71" s="237"/>
      <c r="E71" s="238"/>
      <c r="F71" s="241"/>
      <c r="G71" s="63" t="s">
        <v>114</v>
      </c>
      <c r="H71" s="126">
        <f t="shared" ref="H71:AI71" ca="1" si="11">SUM(H69:H70)</f>
        <v>0</v>
      </c>
      <c r="I71" s="126">
        <f t="shared" ca="1" si="11"/>
        <v>0</v>
      </c>
      <c r="J71" s="126">
        <f t="shared" ca="1" si="11"/>
        <v>125601.48039249048</v>
      </c>
      <c r="K71" s="126">
        <f t="shared" ca="1" si="11"/>
        <v>250030.05388925795</v>
      </c>
      <c r="L71" s="126">
        <f t="shared" ca="1" si="11"/>
        <v>826536.97360369854</v>
      </c>
      <c r="M71" s="126">
        <f t="shared" ca="1" si="11"/>
        <v>1209297.345936673</v>
      </c>
      <c r="N71" s="126">
        <f t="shared" ca="1" si="11"/>
        <v>1395297.345936673</v>
      </c>
      <c r="O71" s="126">
        <f t="shared" ca="1" si="11"/>
        <v>1534366.4706942162</v>
      </c>
      <c r="P71" s="126">
        <f t="shared" ca="1" si="11"/>
        <v>1654919.4687545609</v>
      </c>
      <c r="Q71" s="126">
        <f t="shared" ca="1" si="11"/>
        <v>2165758.7437425428</v>
      </c>
      <c r="R71" s="126">
        <f t="shared" ca="1" si="11"/>
        <v>2162895.7030495722</v>
      </c>
      <c r="S71" s="126">
        <f t="shared" ca="1" si="11"/>
        <v>2169375.7057282031</v>
      </c>
      <c r="T71" s="126">
        <f t="shared" ca="1" si="11"/>
        <v>1657025.4639717361</v>
      </c>
      <c r="U71" s="126">
        <f t="shared" ca="1" si="11"/>
        <v>1502025.4639717361</v>
      </c>
      <c r="V71" s="126">
        <f t="shared" ca="1" si="11"/>
        <v>1266061.5879903033</v>
      </c>
      <c r="W71" s="126">
        <f t="shared" ca="1" si="11"/>
        <v>925753.37842921191</v>
      </c>
      <c r="X71" s="126">
        <f t="shared" ca="1" si="11"/>
        <v>193789.50244777917</v>
      </c>
      <c r="Y71" s="126">
        <f t="shared" ca="1" si="11"/>
        <v>0</v>
      </c>
      <c r="Z71" s="126">
        <f t="shared" ca="1" si="11"/>
        <v>0</v>
      </c>
      <c r="AA71" s="126">
        <f t="shared" ca="1" si="11"/>
        <v>0</v>
      </c>
      <c r="AB71" s="126">
        <f t="shared" ca="1" si="11"/>
        <v>0</v>
      </c>
      <c r="AC71" s="126">
        <f t="shared" ca="1" si="11"/>
        <v>0</v>
      </c>
      <c r="AD71" s="126">
        <f t="shared" ca="1" si="11"/>
        <v>0</v>
      </c>
      <c r="AE71" s="126">
        <f t="shared" ca="1" si="11"/>
        <v>0</v>
      </c>
      <c r="AF71" s="126">
        <f t="shared" ca="1" si="11"/>
        <v>0</v>
      </c>
      <c r="AG71" s="126">
        <f t="shared" ca="1" si="11"/>
        <v>0</v>
      </c>
      <c r="AH71" s="126">
        <f t="shared" ca="1" si="11"/>
        <v>0</v>
      </c>
      <c r="AI71" s="126">
        <f t="shared" ca="1" si="11"/>
        <v>0</v>
      </c>
      <c r="AJ71" s="149"/>
      <c r="AK71" s="149"/>
      <c r="AL71" s="135"/>
      <c r="AM71" s="136">
        <f ca="1">SUM(H71:AI71)</f>
        <v>19038734.688538656</v>
      </c>
      <c r="AN71" s="113"/>
      <c r="AO71" s="114"/>
    </row>
    <row r="72" spans="1:44" ht="15" hidden="1" customHeight="1" outlineLevel="1" x14ac:dyDescent="0.25">
      <c r="A72" s="113"/>
      <c r="B72" s="115"/>
      <c r="C72" s="115"/>
      <c r="D72" s="115"/>
      <c r="E72" s="114"/>
      <c r="F72" s="235" t="s">
        <v>118</v>
      </c>
      <c r="G72" s="86" t="s">
        <v>119</v>
      </c>
      <c r="H72" s="145">
        <f ca="1">H67</f>
        <v>0</v>
      </c>
      <c r="I72" s="145">
        <f ca="1">I67-H67</f>
        <v>0</v>
      </c>
      <c r="J72" s="145">
        <f t="shared" ref="J72:AI72" ca="1" si="12">J67-I67</f>
        <v>4.5</v>
      </c>
      <c r="K72" s="145">
        <f t="shared" ca="1" si="12"/>
        <v>4.0999999999999996</v>
      </c>
      <c r="L72" s="145">
        <f t="shared" ca="1" si="12"/>
        <v>18.899999999999999</v>
      </c>
      <c r="M72" s="145">
        <f t="shared" ca="1" si="12"/>
        <v>12.5</v>
      </c>
      <c r="N72" s="145">
        <f t="shared" ca="1" si="12"/>
        <v>6</v>
      </c>
      <c r="O72" s="145">
        <f t="shared" ca="1" si="12"/>
        <v>4.5</v>
      </c>
      <c r="P72" s="145">
        <f t="shared" ca="1" si="12"/>
        <v>4</v>
      </c>
      <c r="Q72" s="145">
        <f t="shared" ca="1" si="12"/>
        <v>17.5</v>
      </c>
      <c r="R72" s="145">
        <f t="shared" ca="1" si="12"/>
        <v>0</v>
      </c>
      <c r="S72" s="145">
        <f t="shared" ca="1" si="12"/>
        <v>0.50000000000001421</v>
      </c>
      <c r="T72" s="145">
        <f t="shared" ca="1" si="12"/>
        <v>-17</v>
      </c>
      <c r="U72" s="145">
        <f t="shared" ca="1" si="12"/>
        <v>-5</v>
      </c>
      <c r="V72" s="145">
        <f t="shared" ca="1" si="12"/>
        <v>-8</v>
      </c>
      <c r="W72" s="145">
        <f t="shared" ca="1" si="12"/>
        <v>-11.5</v>
      </c>
      <c r="X72" s="145">
        <f t="shared" ca="1" si="12"/>
        <v>-24</v>
      </c>
      <c r="Y72" s="145">
        <f t="shared" ca="1" si="12"/>
        <v>-7</v>
      </c>
      <c r="Z72" s="145">
        <f t="shared" ca="1" si="12"/>
        <v>0</v>
      </c>
      <c r="AA72" s="145">
        <f t="shared" ca="1" si="12"/>
        <v>0</v>
      </c>
      <c r="AB72" s="145">
        <f t="shared" ca="1" si="12"/>
        <v>0</v>
      </c>
      <c r="AC72" s="145">
        <f t="shared" ca="1" si="12"/>
        <v>0</v>
      </c>
      <c r="AD72" s="145">
        <f t="shared" ca="1" si="12"/>
        <v>0</v>
      </c>
      <c r="AE72" s="145">
        <f t="shared" ca="1" si="12"/>
        <v>0</v>
      </c>
      <c r="AF72" s="145">
        <f t="shared" ca="1" si="12"/>
        <v>0</v>
      </c>
      <c r="AG72" s="145">
        <f t="shared" ca="1" si="12"/>
        <v>0</v>
      </c>
      <c r="AH72" s="145">
        <f t="shared" ca="1" si="12"/>
        <v>0</v>
      </c>
      <c r="AI72" s="145">
        <f t="shared" ca="1" si="12"/>
        <v>0</v>
      </c>
      <c r="AJ72" s="150"/>
      <c r="AK72" s="150"/>
      <c r="AL72" s="137"/>
      <c r="AM72" s="138"/>
      <c r="AN72" s="113"/>
      <c r="AO72" s="114"/>
    </row>
    <row r="73" spans="1:44" ht="15" hidden="1" customHeight="1" outlineLevel="1" collapsed="1" x14ac:dyDescent="0.25">
      <c r="A73" s="113"/>
      <c r="B73" s="115"/>
      <c r="C73" s="115"/>
      <c r="D73" s="115"/>
      <c r="E73" s="114"/>
      <c r="F73" s="236"/>
      <c r="G73" s="86" t="s">
        <v>120</v>
      </c>
      <c r="H73" s="146" t="s">
        <v>121</v>
      </c>
      <c r="I73" s="146" t="s">
        <v>121</v>
      </c>
      <c r="J73" s="146" t="s">
        <v>121</v>
      </c>
      <c r="K73" s="146" t="s">
        <v>121</v>
      </c>
      <c r="L73" s="146" t="s">
        <v>121</v>
      </c>
      <c r="M73" s="146" t="s">
        <v>121</v>
      </c>
      <c r="N73" s="146" t="s">
        <v>121</v>
      </c>
      <c r="O73" s="146" t="s">
        <v>121</v>
      </c>
      <c r="P73" s="146" t="s">
        <v>121</v>
      </c>
      <c r="Q73" s="146" t="s">
        <v>121</v>
      </c>
      <c r="R73" s="146" t="s">
        <v>121</v>
      </c>
      <c r="S73" s="146" t="s">
        <v>121</v>
      </c>
      <c r="T73" s="146" t="s">
        <v>121</v>
      </c>
      <c r="U73" s="146" t="s">
        <v>121</v>
      </c>
      <c r="V73" s="146" t="s">
        <v>121</v>
      </c>
      <c r="W73" s="146" t="s">
        <v>121</v>
      </c>
      <c r="X73" s="146" t="s">
        <v>121</v>
      </c>
      <c r="Y73" s="146" t="s">
        <v>121</v>
      </c>
      <c r="Z73" s="146" t="s">
        <v>121</v>
      </c>
      <c r="AA73" s="146" t="s">
        <v>121</v>
      </c>
      <c r="AB73" s="146" t="s">
        <v>121</v>
      </c>
      <c r="AC73" s="146" t="s">
        <v>121</v>
      </c>
      <c r="AD73" s="146" t="s">
        <v>121</v>
      </c>
      <c r="AE73" s="146" t="s">
        <v>121</v>
      </c>
      <c r="AF73" s="146" t="s">
        <v>121</v>
      </c>
      <c r="AG73" s="146" t="s">
        <v>121</v>
      </c>
      <c r="AH73" s="146" t="s">
        <v>121</v>
      </c>
      <c r="AI73" s="146" t="s">
        <v>121</v>
      </c>
      <c r="AJ73" s="150"/>
      <c r="AK73" s="150"/>
      <c r="AL73" s="137"/>
      <c r="AM73" s="139" t="str">
        <f>IF(COUNTIFS(H73:AI73,"*NC*")=28,"No Change","Adjusted")</f>
        <v>No Change</v>
      </c>
      <c r="AN73" s="113"/>
      <c r="AO73" s="114"/>
    </row>
    <row r="74" spans="1:44" ht="15" hidden="1" customHeight="1" outlineLevel="1" x14ac:dyDescent="0.25">
      <c r="A74" s="113"/>
      <c r="B74" s="115"/>
      <c r="C74" s="115"/>
      <c r="D74" s="115"/>
      <c r="E74" s="114"/>
      <c r="F74" s="236"/>
      <c r="G74" s="86" t="s">
        <v>122</v>
      </c>
      <c r="H74" s="147">
        <f ca="1">_xlfn.XLOOKUP(H$73,Scenarios,'Ramp Scenarios'!$C$3:$C$11)*SUM(H67:H67)-SUM(H67:H67)</f>
        <v>0</v>
      </c>
      <c r="I74" s="147">
        <f ca="1">_xlfn.XLOOKUP(I$73,Scenarios,'Ramp Scenarios'!$C$3:$C$11)*SUM(I67:I67)-SUM(I67:I67)</f>
        <v>0</v>
      </c>
      <c r="J74" s="147">
        <f ca="1">_xlfn.XLOOKUP(J$73,Scenarios,'Ramp Scenarios'!$C$3:$C$11)*SUM(J67:J67)-SUM(J67:J67)</f>
        <v>0</v>
      </c>
      <c r="K74" s="147">
        <f ca="1">_xlfn.XLOOKUP(K$73,Scenarios,'Ramp Scenarios'!$C$3:$C$11)*SUM(K67:K67)-SUM(K67:K67)</f>
        <v>0</v>
      </c>
      <c r="L74" s="147">
        <f ca="1">_xlfn.XLOOKUP(L$73,Scenarios,'Ramp Scenarios'!$C$3:$C$11)*SUM(L67:L67)-SUM(L67:L67)</f>
        <v>0</v>
      </c>
      <c r="M74" s="147">
        <f ca="1">_xlfn.XLOOKUP(M$73,Scenarios,'Ramp Scenarios'!$C$3:$C$11)*SUM(M67:M67)-SUM(M67:M67)</f>
        <v>0</v>
      </c>
      <c r="N74" s="147">
        <f ca="1">_xlfn.XLOOKUP(N$73,Scenarios,'Ramp Scenarios'!$C$3:$C$11)*SUM(N67:N67)-SUM(N67:N67)</f>
        <v>0</v>
      </c>
      <c r="O74" s="147">
        <f ca="1">_xlfn.XLOOKUP(O$73,Scenarios,'Ramp Scenarios'!$C$3:$C$11)*SUM(O67:O67)-SUM(O67:O67)</f>
        <v>0</v>
      </c>
      <c r="P74" s="147">
        <f ca="1">_xlfn.XLOOKUP(P$73,Scenarios,'Ramp Scenarios'!$C$3:$C$11)*SUM(P67:P67)-SUM(P67:P67)</f>
        <v>0</v>
      </c>
      <c r="Q74" s="147">
        <f ca="1">_xlfn.XLOOKUP(Q$73,Scenarios,'Ramp Scenarios'!$C$3:$C$11)*SUM(Q67:Q67)-SUM(Q67:Q67)</f>
        <v>0</v>
      </c>
      <c r="R74" s="147">
        <f ca="1">_xlfn.XLOOKUP(R$73,Scenarios,'Ramp Scenarios'!$C$3:$C$11)*SUM(R67:R67)-SUM(R67:R67)</f>
        <v>0</v>
      </c>
      <c r="S74" s="147">
        <f ca="1">_xlfn.XLOOKUP(S$73,Scenarios,'Ramp Scenarios'!$C$3:$C$11)*SUM(S67:S67)-SUM(S67:S67)</f>
        <v>0</v>
      </c>
      <c r="T74" s="147">
        <f ca="1">_xlfn.XLOOKUP(T$73,Scenarios,'Ramp Scenarios'!$C$3:$C$11)*SUM(T67:T67)-SUM(T67:T67)</f>
        <v>0</v>
      </c>
      <c r="U74" s="147">
        <f ca="1">_xlfn.XLOOKUP(U$73,Scenarios,'Ramp Scenarios'!$C$3:$C$11)*SUM(U67:U67)-SUM(U67:U67)</f>
        <v>0</v>
      </c>
      <c r="V74" s="147">
        <f ca="1">_xlfn.XLOOKUP(V$73,Scenarios,'Ramp Scenarios'!$C$3:$C$11)*SUM(V67:V67)-SUM(V67:V67)</f>
        <v>0</v>
      </c>
      <c r="W74" s="147">
        <f ca="1">_xlfn.XLOOKUP(W$73,Scenarios,'Ramp Scenarios'!$C$3:$C$11)*SUM(W67:W67)-SUM(W67:W67)</f>
        <v>0</v>
      </c>
      <c r="X74" s="147">
        <f ca="1">_xlfn.XLOOKUP(X$73,Scenarios,'Ramp Scenarios'!$C$3:$C$11)*SUM(X67:X67)-SUM(X67:X67)</f>
        <v>0</v>
      </c>
      <c r="Y74" s="147">
        <f ca="1">_xlfn.XLOOKUP(Y$73,Scenarios,'Ramp Scenarios'!$C$3:$C$11)*SUM(Y67:Y67)-SUM(Y67:Y67)</f>
        <v>0</v>
      </c>
      <c r="Z74" s="147">
        <f ca="1">_xlfn.XLOOKUP(Z$73,Scenarios,'Ramp Scenarios'!$C$3:$C$11)*SUM(Z67:Z67)-SUM(Z67:Z67)</f>
        <v>0</v>
      </c>
      <c r="AA74" s="147">
        <f ca="1">_xlfn.XLOOKUP(AA$73,Scenarios,'Ramp Scenarios'!$C$3:$C$11)*SUM(AA67:AA67)-SUM(AA67:AA67)</f>
        <v>0</v>
      </c>
      <c r="AB74" s="147">
        <f ca="1">_xlfn.XLOOKUP(AB$73,Scenarios,'Ramp Scenarios'!$C$3:$C$11)*SUM(AB67:AB67)-SUM(AB67:AB67)</f>
        <v>0</v>
      </c>
      <c r="AC74" s="147">
        <f ca="1">_xlfn.XLOOKUP(AC$73,Scenarios,'Ramp Scenarios'!$C$3:$C$11)*SUM(AC67:AC67)-SUM(AC67:AC67)</f>
        <v>0</v>
      </c>
      <c r="AD74" s="147">
        <f ca="1">_xlfn.XLOOKUP(AD$73,Scenarios,'Ramp Scenarios'!$C$3:$C$11)*SUM(AD67:AD67)-SUM(AD67:AD67)</f>
        <v>0</v>
      </c>
      <c r="AE74" s="147">
        <f ca="1">_xlfn.XLOOKUP(AE$73,Scenarios,'Ramp Scenarios'!$C$3:$C$11)*SUM(AE67:AE67)-SUM(AE67:AE67)</f>
        <v>0</v>
      </c>
      <c r="AF74" s="147">
        <f ca="1">_xlfn.XLOOKUP(AF$73,Scenarios,'Ramp Scenarios'!$C$3:$C$11)*SUM(AF67:AF67)-SUM(AF67:AF67)</f>
        <v>0</v>
      </c>
      <c r="AG74" s="147">
        <f ca="1">_xlfn.XLOOKUP(AG$73,Scenarios,'Ramp Scenarios'!$C$3:$C$11)*SUM(AG67:AG67)-SUM(AG67:AG67)</f>
        <v>0</v>
      </c>
      <c r="AH74" s="147">
        <f ca="1">_xlfn.XLOOKUP(AH$73,Scenarios,'Ramp Scenarios'!$C$3:$C$11)*SUM(AH67:AH67)-SUM(AH67:AH67)</f>
        <v>0</v>
      </c>
      <c r="AI74" s="147">
        <f ca="1">_xlfn.XLOOKUP(AI$73,Scenarios,'Ramp Scenarios'!$C$3:$C$11)*SUM(AI67:AI67)-SUM(AI67:AI67)</f>
        <v>0</v>
      </c>
      <c r="AJ74" s="150"/>
      <c r="AK74" s="150"/>
      <c r="AL74" s="137"/>
      <c r="AM74" s="140">
        <f ca="1">SUM(H74:AI74)</f>
        <v>0</v>
      </c>
      <c r="AN74" s="113"/>
      <c r="AO74" s="114"/>
    </row>
    <row r="75" spans="1:44" ht="15" hidden="1" customHeight="1" outlineLevel="1" x14ac:dyDescent="0.25">
      <c r="A75" s="113"/>
      <c r="B75" s="115"/>
      <c r="C75" s="115"/>
      <c r="D75" s="115"/>
      <c r="E75" s="114"/>
      <c r="F75" s="236"/>
      <c r="G75" s="86" t="s">
        <v>123</v>
      </c>
      <c r="H75" s="127">
        <f ca="1">(H70)*_xlfn.XLOOKUP(H73,Scenarios,'Ramp Scenarios'!$C$3:$C$11)</f>
        <v>0</v>
      </c>
      <c r="I75" s="127">
        <f ca="1">(I70)*_xlfn.XLOOKUP(I73,Scenarios,'Ramp Scenarios'!$C$3:$C$11)</f>
        <v>0</v>
      </c>
      <c r="J75" s="127">
        <f ca="1">(J70)*_xlfn.XLOOKUP(J73,Scenarios,'Ramp Scenarios'!$C$3:$C$11)</f>
        <v>125601.48039249048</v>
      </c>
      <c r="K75" s="127">
        <f ca="1">(K70)*_xlfn.XLOOKUP(K73,Scenarios,'Ramp Scenarios'!$C$3:$C$11)</f>
        <v>250030.05388925795</v>
      </c>
      <c r="L75" s="127">
        <f ca="1">(L70)*_xlfn.XLOOKUP(L73,Scenarios,'Ramp Scenarios'!$C$3:$C$11)</f>
        <v>826536.97360369854</v>
      </c>
      <c r="M75" s="127">
        <f ca="1">(M70)*_xlfn.XLOOKUP(M73,Scenarios,'Ramp Scenarios'!$C$3:$C$11)</f>
        <v>1209297.345936673</v>
      </c>
      <c r="N75" s="127">
        <f ca="1">(N70)*_xlfn.XLOOKUP(N73,Scenarios,'Ramp Scenarios'!$C$3:$C$11)</f>
        <v>1395297.345936673</v>
      </c>
      <c r="O75" s="127">
        <f ca="1">(O70)*_xlfn.XLOOKUP(O73,Scenarios,'Ramp Scenarios'!$C$3:$C$11)</f>
        <v>1534366.4706942162</v>
      </c>
      <c r="P75" s="127">
        <f ca="1">(P70)*_xlfn.XLOOKUP(P73,Scenarios,'Ramp Scenarios'!$C$3:$C$11)</f>
        <v>1654919.4687545609</v>
      </c>
      <c r="Q75" s="127">
        <f ca="1">(Q70)*_xlfn.XLOOKUP(Q73,Scenarios,'Ramp Scenarios'!$C$3:$C$11)</f>
        <v>2165758.7437425428</v>
      </c>
      <c r="R75" s="127">
        <f ca="1">(R70)*_xlfn.XLOOKUP(R73,Scenarios,'Ramp Scenarios'!$C$3:$C$11)</f>
        <v>2162895.7030495722</v>
      </c>
      <c r="S75" s="127">
        <f ca="1">(S70)*_xlfn.XLOOKUP(S73,Scenarios,'Ramp Scenarios'!$C$3:$C$11)</f>
        <v>2169375.7057282031</v>
      </c>
      <c r="T75" s="127">
        <f ca="1">(T70)*_xlfn.XLOOKUP(T73,Scenarios,'Ramp Scenarios'!$C$3:$C$11)</f>
        <v>1657025.4639717361</v>
      </c>
      <c r="U75" s="127">
        <f ca="1">(U70)*_xlfn.XLOOKUP(U73,Scenarios,'Ramp Scenarios'!$C$3:$C$11)</f>
        <v>1502025.4639717361</v>
      </c>
      <c r="V75" s="127">
        <f ca="1">(V70)*_xlfn.XLOOKUP(V73,Scenarios,'Ramp Scenarios'!$C$3:$C$11)</f>
        <v>1266061.5879903033</v>
      </c>
      <c r="W75" s="127">
        <f ca="1">(W70)*_xlfn.XLOOKUP(W73,Scenarios,'Ramp Scenarios'!$C$3:$C$11)</f>
        <v>925753.37842921191</v>
      </c>
      <c r="X75" s="127">
        <f ca="1">(X70)*_xlfn.XLOOKUP(X73,Scenarios,'Ramp Scenarios'!$C$3:$C$11)</f>
        <v>193789.50244777917</v>
      </c>
      <c r="Y75" s="127">
        <f ca="1">(Y70)*_xlfn.XLOOKUP(Y73,Scenarios,'Ramp Scenarios'!$C$3:$C$11)</f>
        <v>0</v>
      </c>
      <c r="Z75" s="127">
        <f ca="1">(Z70)*_xlfn.XLOOKUP(Z73,Scenarios,'Ramp Scenarios'!$C$3:$C$11)</f>
        <v>0</v>
      </c>
      <c r="AA75" s="127">
        <f ca="1">(AA70)*_xlfn.XLOOKUP(AA73,Scenarios,'Ramp Scenarios'!$C$3:$C$11)</f>
        <v>0</v>
      </c>
      <c r="AB75" s="127">
        <f ca="1">(AB70)*_xlfn.XLOOKUP(AB73,Scenarios,'Ramp Scenarios'!$C$3:$C$11)</f>
        <v>0</v>
      </c>
      <c r="AC75" s="127">
        <f ca="1">(AC70)*_xlfn.XLOOKUP(AC73,Scenarios,'Ramp Scenarios'!$C$3:$C$11)</f>
        <v>0</v>
      </c>
      <c r="AD75" s="127">
        <f ca="1">(AD70)*_xlfn.XLOOKUP(AD73,Scenarios,'Ramp Scenarios'!$C$3:$C$11)</f>
        <v>0</v>
      </c>
      <c r="AE75" s="127">
        <f ca="1">(AE70)*_xlfn.XLOOKUP(AE73,Scenarios,'Ramp Scenarios'!$C$3:$C$11)</f>
        <v>0</v>
      </c>
      <c r="AF75" s="127">
        <f ca="1">(AF70)*_xlfn.XLOOKUP(AF73,Scenarios,'Ramp Scenarios'!$C$3:$C$11)</f>
        <v>0</v>
      </c>
      <c r="AG75" s="127">
        <f ca="1">(AG70)*_xlfn.XLOOKUP(AG73,Scenarios,'Ramp Scenarios'!$C$3:$C$11)</f>
        <v>0</v>
      </c>
      <c r="AH75" s="127">
        <f ca="1">(AH70)*_xlfn.XLOOKUP(AH73,Scenarios,'Ramp Scenarios'!$C$3:$C$11)</f>
        <v>0</v>
      </c>
      <c r="AI75" s="127">
        <f ca="1">(AI70)*_xlfn.XLOOKUP(AI73,Scenarios,'Ramp Scenarios'!$C$3:$C$11)</f>
        <v>0</v>
      </c>
      <c r="AJ75" s="67"/>
      <c r="AK75" s="67"/>
      <c r="AL75" s="137"/>
      <c r="AM75" s="137">
        <f ca="1">SUM(H75:AI75)</f>
        <v>19038734.688538656</v>
      </c>
      <c r="AN75" s="113"/>
      <c r="AO75" s="114"/>
    </row>
    <row r="76" spans="1:44" collapsed="1" x14ac:dyDescent="0.25">
      <c r="A76" s="113"/>
      <c r="B76" s="115"/>
      <c r="C76" s="115"/>
      <c r="D76" s="115"/>
      <c r="E76" s="114"/>
      <c r="F76" s="236"/>
      <c r="G76" s="86" t="s">
        <v>124</v>
      </c>
      <c r="H76" s="127">
        <f t="shared" ref="H76:AI76" ca="1" si="13">H75+H69</f>
        <v>0</v>
      </c>
      <c r="I76" s="127">
        <f t="shared" ca="1" si="13"/>
        <v>0</v>
      </c>
      <c r="J76" s="127">
        <f t="shared" ca="1" si="13"/>
        <v>125601.48039249048</v>
      </c>
      <c r="K76" s="127">
        <f t="shared" ca="1" si="13"/>
        <v>250030.05388925795</v>
      </c>
      <c r="L76" s="127">
        <f t="shared" ca="1" si="13"/>
        <v>826536.97360369854</v>
      </c>
      <c r="M76" s="127">
        <f t="shared" ca="1" si="13"/>
        <v>1209297.345936673</v>
      </c>
      <c r="N76" s="127">
        <f t="shared" ca="1" si="13"/>
        <v>1395297.345936673</v>
      </c>
      <c r="O76" s="127">
        <f t="shared" ca="1" si="13"/>
        <v>1534366.4706942162</v>
      </c>
      <c r="P76" s="127">
        <f t="shared" ca="1" si="13"/>
        <v>1654919.4687545609</v>
      </c>
      <c r="Q76" s="127">
        <f t="shared" ca="1" si="13"/>
        <v>2165758.7437425428</v>
      </c>
      <c r="R76" s="127">
        <f t="shared" ca="1" si="13"/>
        <v>2162895.7030495722</v>
      </c>
      <c r="S76" s="127">
        <f t="shared" ca="1" si="13"/>
        <v>2169375.7057282031</v>
      </c>
      <c r="T76" s="127">
        <f t="shared" ca="1" si="13"/>
        <v>1657025.4639717361</v>
      </c>
      <c r="U76" s="127">
        <f t="shared" ca="1" si="13"/>
        <v>1502025.4639717361</v>
      </c>
      <c r="V76" s="127">
        <f t="shared" ca="1" si="13"/>
        <v>1266061.5879903033</v>
      </c>
      <c r="W76" s="127">
        <f t="shared" ca="1" si="13"/>
        <v>925753.37842921191</v>
      </c>
      <c r="X76" s="127">
        <f t="shared" ca="1" si="13"/>
        <v>193789.50244777917</v>
      </c>
      <c r="Y76" s="127">
        <f t="shared" ca="1" si="13"/>
        <v>0</v>
      </c>
      <c r="Z76" s="127">
        <f t="shared" ca="1" si="13"/>
        <v>0</v>
      </c>
      <c r="AA76" s="127">
        <f t="shared" ca="1" si="13"/>
        <v>0</v>
      </c>
      <c r="AB76" s="127">
        <f t="shared" ca="1" si="13"/>
        <v>0</v>
      </c>
      <c r="AC76" s="127">
        <f t="shared" ca="1" si="13"/>
        <v>0</v>
      </c>
      <c r="AD76" s="127">
        <f t="shared" ca="1" si="13"/>
        <v>0</v>
      </c>
      <c r="AE76" s="127">
        <f t="shared" ca="1" si="13"/>
        <v>0</v>
      </c>
      <c r="AF76" s="127">
        <f t="shared" ca="1" si="13"/>
        <v>0</v>
      </c>
      <c r="AG76" s="127">
        <f t="shared" ca="1" si="13"/>
        <v>0</v>
      </c>
      <c r="AH76" s="127">
        <f t="shared" ca="1" si="13"/>
        <v>0</v>
      </c>
      <c r="AI76" s="127">
        <f t="shared" ca="1" si="13"/>
        <v>0</v>
      </c>
      <c r="AJ76" s="67"/>
      <c r="AK76" s="67"/>
      <c r="AL76" s="137"/>
      <c r="AM76" s="137">
        <f ca="1">SUM(H76:AI76)</f>
        <v>19038734.688538656</v>
      </c>
      <c r="AN76" s="113"/>
      <c r="AO76" s="114"/>
    </row>
    <row r="77" spans="1:44" x14ac:dyDescent="0.25">
      <c r="C77" s="64"/>
      <c r="D77" s="64"/>
      <c r="E77" s="64"/>
      <c r="F77" s="64"/>
      <c r="G77" s="70"/>
      <c r="AM77" s="72"/>
    </row>
    <row r="78" spans="1:44" x14ac:dyDescent="0.25">
      <c r="C78" s="64"/>
      <c r="F78" s="64"/>
      <c r="G78" s="71"/>
      <c r="AJ78" s="65"/>
      <c r="AK78" s="65"/>
      <c r="AL78" s="65"/>
      <c r="AM78" s="72"/>
    </row>
    <row r="79" spans="1:44" x14ac:dyDescent="0.25">
      <c r="C79" s="64"/>
      <c r="F79" s="64"/>
      <c r="G79" s="71"/>
      <c r="K79" s="89"/>
    </row>
    <row r="80" spans="1:44" x14ac:dyDescent="0.25">
      <c r="C80" s="64"/>
      <c r="F80" s="64"/>
      <c r="G80" s="71"/>
      <c r="H80" s="4"/>
      <c r="I80" s="4"/>
      <c r="J80" s="4"/>
      <c r="K80" s="90"/>
    </row>
    <row r="81" spans="3:38" x14ac:dyDescent="0.25">
      <c r="C81" s="64"/>
      <c r="F81" s="64"/>
      <c r="G81" s="71"/>
      <c r="H81" s="4"/>
      <c r="I81" s="4"/>
      <c r="J81" s="4"/>
      <c r="K81" s="91"/>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row>
    <row r="82" spans="3:38" x14ac:dyDescent="0.25">
      <c r="C82" s="64"/>
      <c r="F82" s="64"/>
      <c r="G82" s="71"/>
      <c r="H82" s="4"/>
      <c r="I82" s="4"/>
      <c r="J82" s="4"/>
      <c r="K82" s="92"/>
    </row>
    <row r="83" spans="3:38" x14ac:dyDescent="0.25">
      <c r="C83" s="64"/>
      <c r="F83" s="7"/>
      <c r="G83" s="71"/>
      <c r="H83" s="4"/>
      <c r="I83" s="4"/>
      <c r="J83" s="4"/>
      <c r="K83" s="93"/>
    </row>
    <row r="84" spans="3:38" x14ac:dyDescent="0.25">
      <c r="C84" s="64"/>
      <c r="F84" s="7"/>
      <c r="G84" s="71"/>
      <c r="H84" s="4"/>
      <c r="I84" s="4"/>
      <c r="J84" s="4"/>
      <c r="K84" s="4"/>
    </row>
    <row r="85" spans="3:38" x14ac:dyDescent="0.25">
      <c r="C85" s="64"/>
      <c r="F85" s="64"/>
      <c r="G85" s="71"/>
      <c r="H85" s="4"/>
      <c r="I85" s="4"/>
      <c r="J85" s="4"/>
      <c r="K85" s="4"/>
    </row>
    <row r="86" spans="3:38" x14ac:dyDescent="0.25">
      <c r="C86" s="64"/>
      <c r="F86" s="66"/>
      <c r="H86" s="4"/>
      <c r="I86" s="4"/>
      <c r="J86" s="4"/>
      <c r="K86" s="4"/>
    </row>
    <row r="87" spans="3:38" x14ac:dyDescent="0.25">
      <c r="C87" s="64"/>
      <c r="F87" s="66"/>
      <c r="H87" s="4"/>
      <c r="I87" s="4"/>
      <c r="J87" s="4"/>
      <c r="K87" s="4"/>
    </row>
    <row r="88" spans="3:38" x14ac:dyDescent="0.25">
      <c r="C88" s="64"/>
      <c r="F88" s="66"/>
      <c r="H88" s="4"/>
      <c r="I88" s="4"/>
      <c r="J88" s="4"/>
      <c r="K88" s="4"/>
    </row>
    <row r="89" spans="3:38" x14ac:dyDescent="0.25">
      <c r="D89" s="66"/>
      <c r="E89" s="66"/>
      <c r="F89" s="66"/>
      <c r="H89" s="4"/>
      <c r="I89" s="4"/>
      <c r="J89" s="4"/>
      <c r="K89" s="4"/>
    </row>
    <row r="90" spans="3:38" x14ac:dyDescent="0.25">
      <c r="D90" s="66"/>
      <c r="E90" s="66"/>
      <c r="F90" s="66"/>
      <c r="H90" s="4"/>
      <c r="I90" s="4"/>
      <c r="J90" s="4"/>
      <c r="K90" s="4"/>
    </row>
    <row r="91" spans="3:38" x14ac:dyDescent="0.25">
      <c r="D91" s="66"/>
      <c r="E91" s="66"/>
      <c r="F91" s="66"/>
      <c r="H91" s="4"/>
      <c r="I91" s="4"/>
      <c r="J91" s="4"/>
      <c r="K91" s="4"/>
    </row>
    <row r="92" spans="3:38" x14ac:dyDescent="0.25">
      <c r="D92" s="66"/>
      <c r="E92" s="66"/>
      <c r="F92" s="66"/>
      <c r="H92" s="4"/>
      <c r="I92" s="4"/>
      <c r="J92" s="4"/>
      <c r="K92" s="4"/>
    </row>
    <row r="93" spans="3:38" x14ac:dyDescent="0.25">
      <c r="D93" s="66"/>
      <c r="E93" s="66"/>
      <c r="F93" s="66"/>
      <c r="H93" s="4"/>
      <c r="I93" s="4"/>
      <c r="J93" s="4"/>
      <c r="K93" s="4"/>
    </row>
    <row r="94" spans="3:38" x14ac:dyDescent="0.25">
      <c r="D94" s="66"/>
      <c r="E94" s="66"/>
      <c r="F94" s="66"/>
      <c r="H94" s="4"/>
      <c r="I94" s="4"/>
      <c r="J94" s="4"/>
      <c r="K94" s="4"/>
    </row>
    <row r="95" spans="3:38" x14ac:dyDescent="0.25">
      <c r="D95" s="66"/>
      <c r="E95" s="66"/>
      <c r="F95" s="66"/>
      <c r="H95" s="4"/>
      <c r="I95" s="4"/>
      <c r="J95" s="4"/>
      <c r="K95" s="4"/>
    </row>
    <row r="96" spans="3:38" x14ac:dyDescent="0.25">
      <c r="D96" s="66"/>
      <c r="E96" s="66"/>
      <c r="F96" s="66"/>
      <c r="H96" s="4"/>
      <c r="I96" s="4"/>
      <c r="J96" s="4"/>
      <c r="K96" s="4"/>
    </row>
    <row r="97" spans="4:11" x14ac:dyDescent="0.25">
      <c r="D97" s="66"/>
      <c r="E97" s="66"/>
      <c r="F97" s="66"/>
      <c r="H97" s="4"/>
      <c r="I97" s="4"/>
      <c r="J97" s="4"/>
      <c r="K97" s="4"/>
    </row>
    <row r="98" spans="4:11" x14ac:dyDescent="0.25">
      <c r="D98" s="66"/>
      <c r="E98" s="66"/>
      <c r="F98" s="66"/>
      <c r="H98" s="4"/>
      <c r="I98" s="4"/>
      <c r="J98" s="4"/>
      <c r="K98" s="4"/>
    </row>
    <row r="99" spans="4:11" x14ac:dyDescent="0.25">
      <c r="D99" s="66"/>
      <c r="E99" s="66"/>
      <c r="F99" s="66"/>
      <c r="H99" s="4"/>
      <c r="I99" s="4"/>
      <c r="J99" s="4"/>
      <c r="K99" s="4"/>
    </row>
    <row r="100" spans="4:11" x14ac:dyDescent="0.25">
      <c r="D100" s="66"/>
      <c r="E100" s="66"/>
      <c r="F100" s="66"/>
      <c r="H100" s="4"/>
      <c r="I100" s="4"/>
      <c r="J100" s="4"/>
      <c r="K100" s="4"/>
    </row>
    <row r="101" spans="4:11" x14ac:dyDescent="0.25">
      <c r="D101" s="66"/>
      <c r="E101" s="66"/>
      <c r="F101" s="66"/>
      <c r="H101" s="4"/>
      <c r="I101" s="4"/>
      <c r="J101" s="4"/>
      <c r="K101" s="4"/>
    </row>
    <row r="102" spans="4:11" x14ac:dyDescent="0.25">
      <c r="D102" s="66"/>
      <c r="E102" s="66"/>
      <c r="F102" s="66"/>
      <c r="H102" s="4"/>
      <c r="I102" s="4"/>
      <c r="J102" s="4"/>
      <c r="K102" s="4"/>
    </row>
    <row r="103" spans="4:11" x14ac:dyDescent="0.25">
      <c r="D103" s="66"/>
      <c r="E103" s="66"/>
      <c r="F103" s="66"/>
      <c r="H103" s="4"/>
      <c r="I103" s="4"/>
      <c r="J103" s="4"/>
      <c r="K103" s="4"/>
    </row>
    <row r="104" spans="4:11" x14ac:dyDescent="0.25">
      <c r="D104" s="66"/>
      <c r="E104" s="66"/>
      <c r="F104" s="66"/>
      <c r="H104" s="4"/>
      <c r="I104" s="4"/>
      <c r="J104" s="4"/>
      <c r="K104" s="4"/>
    </row>
    <row r="105" spans="4:11" x14ac:dyDescent="0.25">
      <c r="D105" s="66"/>
      <c r="E105" s="66"/>
      <c r="F105" s="66"/>
      <c r="H105" s="4"/>
      <c r="I105" s="4"/>
      <c r="J105" s="4"/>
      <c r="K105" s="4"/>
    </row>
    <row r="106" spans="4:11" x14ac:dyDescent="0.25">
      <c r="D106" s="66"/>
      <c r="E106" s="66"/>
      <c r="F106" s="66"/>
      <c r="H106" s="4"/>
      <c r="I106" s="4"/>
      <c r="J106" s="4"/>
      <c r="K106" s="4"/>
    </row>
    <row r="107" spans="4:11" x14ac:dyDescent="0.25">
      <c r="D107" s="66"/>
      <c r="E107" s="66"/>
      <c r="F107" s="66"/>
      <c r="H107" s="4"/>
      <c r="I107" s="4"/>
      <c r="J107" s="4"/>
      <c r="K107" s="4"/>
    </row>
    <row r="108" spans="4:11" x14ac:dyDescent="0.25">
      <c r="D108" s="66"/>
      <c r="E108" s="66"/>
      <c r="F108" s="66"/>
      <c r="H108" s="4"/>
      <c r="I108" s="4"/>
      <c r="J108" s="4"/>
      <c r="K108" s="4"/>
    </row>
    <row r="109" spans="4:11" x14ac:dyDescent="0.25">
      <c r="H109" s="4"/>
      <c r="I109" s="4"/>
      <c r="J109" s="4"/>
      <c r="K109" s="4"/>
    </row>
    <row r="110" spans="4:11" x14ac:dyDescent="0.25">
      <c r="H110" s="4"/>
      <c r="I110" s="4"/>
      <c r="J110" s="4"/>
      <c r="K110" s="4"/>
    </row>
    <row r="111" spans="4:11" x14ac:dyDescent="0.25">
      <c r="H111" s="4"/>
      <c r="I111" s="4"/>
      <c r="J111" s="4"/>
      <c r="K111" s="4"/>
    </row>
    <row r="112" spans="4:11" x14ac:dyDescent="0.25">
      <c r="H112" s="4"/>
      <c r="I112" s="4"/>
      <c r="J112" s="4"/>
      <c r="K112" s="4"/>
    </row>
    <row r="113" spans="8:11" x14ac:dyDescent="0.25">
      <c r="H113" s="4"/>
      <c r="I113" s="4"/>
      <c r="J113" s="4"/>
      <c r="K113" s="4"/>
    </row>
    <row r="114" spans="8:11" x14ac:dyDescent="0.25">
      <c r="H114" s="4"/>
      <c r="I114" s="4"/>
      <c r="J114" s="4"/>
      <c r="K114" s="4"/>
    </row>
    <row r="115" spans="8:11" x14ac:dyDescent="0.25">
      <c r="H115" s="4"/>
      <c r="I115" s="4"/>
      <c r="J115" s="4"/>
      <c r="K115" s="4"/>
    </row>
    <row r="116" spans="8:11" x14ac:dyDescent="0.25">
      <c r="H116" s="4"/>
      <c r="I116" s="4"/>
      <c r="J116" s="4"/>
      <c r="K116" s="4"/>
    </row>
    <row r="117" spans="8:11" x14ac:dyDescent="0.25">
      <c r="H117" s="4"/>
      <c r="I117" s="4"/>
      <c r="J117" s="4"/>
      <c r="K117" s="4"/>
    </row>
    <row r="118" spans="8:11" x14ac:dyDescent="0.25">
      <c r="H118" s="4"/>
      <c r="I118" s="4"/>
      <c r="J118" s="4"/>
      <c r="K118" s="4"/>
    </row>
  </sheetData>
  <sheetProtection algorithmName="SHA-512" hashValue="aIxvyUVtMdkhqsFC46H/Y3/rriX2lIpMy0d3uk7JJed4vefs0b6Nn9IXEtlJ3EGGZTM8E1E9h6NyjHEwzVGZOw==" saltValue="iDlHuIcAx5vjPJSokN0mTw==" spinCount="100000" sheet="1" autoFilter="0"/>
  <autoFilter ref="A5:AO64" xr:uid="{8E2E9790-3457-4594-B244-8601F9C882DA}">
    <filterColumn colId="1">
      <filters>
        <filter val="Chris"/>
      </filters>
    </filterColumn>
  </autoFilter>
  <mergeCells count="27">
    <mergeCell ref="F69:F71"/>
    <mergeCell ref="F72:F76"/>
    <mergeCell ref="P4:S4"/>
    <mergeCell ref="T4:W4"/>
    <mergeCell ref="X4:AA4"/>
    <mergeCell ref="AB4:AE4"/>
    <mergeCell ref="AF4:AI4"/>
    <mergeCell ref="F66:F68"/>
    <mergeCell ref="AN1:AO1"/>
    <mergeCell ref="A2:C2"/>
    <mergeCell ref="D2:G2"/>
    <mergeCell ref="AN2:AO4"/>
    <mergeCell ref="A3:B4"/>
    <mergeCell ref="C3:C4"/>
    <mergeCell ref="D3:G3"/>
    <mergeCell ref="D4:G4"/>
    <mergeCell ref="H4:K4"/>
    <mergeCell ref="L4:O4"/>
    <mergeCell ref="A66:E66"/>
    <mergeCell ref="A67:B67"/>
    <mergeCell ref="C71:E71"/>
    <mergeCell ref="C67:E67"/>
    <mergeCell ref="A68:B68"/>
    <mergeCell ref="C68:E68"/>
    <mergeCell ref="C69:E69"/>
    <mergeCell ref="A70:B70"/>
    <mergeCell ref="C70:E70"/>
  </mergeCells>
  <phoneticPr fontId="45" type="noConversion"/>
  <conditionalFormatting sqref="A1:AO1">
    <cfRule type="expression" dxfId="15" priority="41">
      <formula>$AN$2="MS Project"</formula>
    </cfRule>
    <cfRule type="expression" dxfId="14" priority="42">
      <formula>$AN$2="Complete"</formula>
    </cfRule>
    <cfRule type="expression" dxfId="13" priority="43">
      <formula>$AN$2="In Progress"</formula>
    </cfRule>
  </conditionalFormatting>
  <conditionalFormatting sqref="B6:G23 B24:C34 E24:G34 B35:G64">
    <cfRule type="expression" dxfId="12" priority="14">
      <formula>AND($AM6&gt;0,$B6="")</formula>
    </cfRule>
  </conditionalFormatting>
  <conditionalFormatting sqref="D24:D34">
    <cfRule type="expression" dxfId="11" priority="3">
      <formula>AND($AN24&gt;0,$C24="")</formula>
    </cfRule>
  </conditionalFormatting>
  <conditionalFormatting sqref="G6:AI64">
    <cfRule type="expression" dxfId="10" priority="5">
      <formula>SEARCH("inc",$G6,1)=1</formula>
    </cfRule>
  </conditionalFormatting>
  <conditionalFormatting sqref="H6:AI64">
    <cfRule type="expression" dxfId="9" priority="6">
      <formula>$AN$2="MS Project"</formula>
    </cfRule>
    <cfRule type="expression" dxfId="8" priority="7">
      <formula>$AN$2="Complete"</formula>
    </cfRule>
  </conditionalFormatting>
  <conditionalFormatting sqref="H68:AI68">
    <cfRule type="colorScale" priority="28">
      <colorScale>
        <cfvo type="min"/>
        <cfvo type="max"/>
        <color theme="1" tint="0.249977111117893"/>
        <color rgb="FFC00000"/>
      </colorScale>
    </cfRule>
  </conditionalFormatting>
  <conditionalFormatting sqref="H72:AI72">
    <cfRule type="cellIs" dxfId="7" priority="33" operator="greaterThan">
      <formula>15</formula>
    </cfRule>
    <cfRule type="cellIs" dxfId="6" priority="34" operator="greaterThan">
      <formula>10</formula>
    </cfRule>
    <cfRule type="cellIs" dxfId="5" priority="35" operator="greaterThan">
      <formula>4</formula>
    </cfRule>
  </conditionalFormatting>
  <conditionalFormatting sqref="AN2:AN3">
    <cfRule type="cellIs" dxfId="4" priority="38" operator="equal">
      <formula>"MS Project"</formula>
    </cfRule>
    <cfRule type="cellIs" dxfId="3" priority="39" operator="equal">
      <formula>"In Progress"</formula>
    </cfRule>
    <cfRule type="cellIs" dxfId="2" priority="40" operator="equal">
      <formula>"Complete"</formula>
    </cfRule>
  </conditionalFormatting>
  <conditionalFormatting sqref="AO5:AO64">
    <cfRule type="cellIs" dxfId="1" priority="36" operator="equal">
      <formula>"OK"</formula>
    </cfRule>
  </conditionalFormatting>
  <conditionalFormatting sqref="AO6:AO64">
    <cfRule type="cellIs" dxfId="0" priority="37" operator="equal">
      <formula>"Check"</formula>
    </cfRule>
  </conditionalFormatting>
  <dataValidations count="7">
    <dataValidation type="list" allowBlank="1" showInputMessage="1" showErrorMessage="1" sqref="H73:AI73" xr:uid="{FE277D77-9AA1-49DE-AE5F-52279BC1188D}">
      <formula1>Scenarios</formula1>
    </dataValidation>
    <dataValidation type="list" allowBlank="1" showInputMessage="1" showErrorMessage="1" sqref="AN2:AN3" xr:uid="{43AD0E0C-E744-495D-BF26-656E36088001}">
      <formula1>Status</formula1>
    </dataValidation>
    <dataValidation type="list" allowBlank="1" showErrorMessage="1" errorTitle="Invalid" error="Please select a valid entry" sqref="G6:G64" xr:uid="{BF98D79E-BFCC-40D0-8541-6D5EF6A0907A}">
      <formula1>HCType</formula1>
    </dataValidation>
    <dataValidation type="list" allowBlank="1" showInputMessage="1" showErrorMessage="1" sqref="E6:E64" xr:uid="{5EA2BF60-8D2F-45D8-B27B-3C14457169C5}">
      <formula1>Location</formula1>
    </dataValidation>
    <dataValidation type="list" allowBlank="1" showErrorMessage="1" errorTitle="Invalid" error="Please select a valid entry" sqref="B6:B64" xr:uid="{82CFE250-1D75-448E-ACED-29D5616FC8AE}">
      <formula1>CVP</formula1>
    </dataValidation>
    <dataValidation type="list" allowBlank="1" showErrorMessage="1" errorTitle="Invalid" error="Please select a valid entry" sqref="C6:C64" xr:uid="{8AAFDD2B-DD07-4EF5-99D3-B5C0CB070A69}">
      <formula1>INDIRECT($B6&amp;"Team")</formula1>
    </dataValidation>
    <dataValidation type="list" allowBlank="1" showErrorMessage="1" errorTitle="Invalid" error="Please select a valid entry" prompt="Select allocation file" sqref="F6:F64" xr:uid="{785CA01D-0295-4269-A93D-D6D26ECA0565}">
      <formula1>INDIRECT(B6)</formula1>
    </dataValidation>
  </dataValidations>
  <pageMargins left="0.7" right="0.7" top="0.75" bottom="0.75" header="0.3" footer="0.3"/>
  <pageSetup orientation="portrait" r:id="rId1"/>
  <headerFooter>
    <oddHeader>&amp;L&amp;"Calibri"&amp;10&amp;K0000FF [AMD Official Use Only - AMD Internal Distribution Only]&amp;1#_x000D_</oddHeader>
  </headerFooter>
  <drawing r:id="rId2"/>
  <extLst>
    <ext xmlns:x14="http://schemas.microsoft.com/office/spreadsheetml/2009/9/main" uri="{05C60535-1F16-4fd2-B633-F4F36F0B64E0}">
      <x14:sparklineGroups xmlns:xm="http://schemas.microsoft.com/office/excel/2006/main">
        <x14:sparklineGroup type="column" displayEmptyCellsAs="gap" high="1" minAxisType="group" xr2:uid="{8173FB03-62DD-4D03-A782-917F3ACD0713}">
          <x14:colorSeries rgb="FF5F5F5F"/>
          <x14:colorNegative rgb="FFFFB620"/>
          <x14:colorAxis rgb="FF000000"/>
          <x14:colorMarkers rgb="FFD70077"/>
          <x14:colorFirst rgb="FF5687C2"/>
          <x14:colorLast rgb="FF359CEB"/>
          <x14:colorHigh rgb="FF56BE79"/>
          <x14:colorLow rgb="FFFF5055"/>
          <x14:sparklines>
            <x14:sparkline>
              <xm:f>'Capitola C40 v1.0 r1'!H6:AI6</xm:f>
              <xm:sqref>AN6</xm:sqref>
            </x14:sparkline>
            <x14:sparkline>
              <xm:f>'Capitola C40 v1.0 r1'!H7:AI7</xm:f>
              <xm:sqref>AN7</xm:sqref>
            </x14:sparkline>
            <x14:sparkline>
              <xm:f>'Capitola C40 v1.0 r1'!H8:AI8</xm:f>
              <xm:sqref>AN8</xm:sqref>
            </x14:sparkline>
            <x14:sparkline>
              <xm:f>'Capitola C40 v1.0 r1'!H9:AI9</xm:f>
              <xm:sqref>AN9</xm:sqref>
            </x14:sparkline>
            <x14:sparkline>
              <xm:f>'Capitola C40 v1.0 r1'!H10:AI10</xm:f>
              <xm:sqref>AN10</xm:sqref>
            </x14:sparkline>
            <x14:sparkline>
              <xm:f>'Capitola C40 v1.0 r1'!H11:AI11</xm:f>
              <xm:sqref>AN11</xm:sqref>
            </x14:sparkline>
            <x14:sparkline>
              <xm:f>'Capitola C40 v1.0 r1'!H12:AI12</xm:f>
              <xm:sqref>AN12</xm:sqref>
            </x14:sparkline>
            <x14:sparkline>
              <xm:f>'Capitola C40 v1.0 r1'!H13:AI13</xm:f>
              <xm:sqref>AN13</xm:sqref>
            </x14:sparkline>
            <x14:sparkline>
              <xm:f>'Capitola C40 v1.0 r1'!H14:AI14</xm:f>
              <xm:sqref>AN14</xm:sqref>
            </x14:sparkline>
            <x14:sparkline>
              <xm:f>'Capitola C40 v1.0 r1'!H15:AI15</xm:f>
              <xm:sqref>AN15</xm:sqref>
            </x14:sparkline>
            <x14:sparkline>
              <xm:f>'Capitola C40 v1.0 r1'!H16:AI16</xm:f>
              <xm:sqref>AN16</xm:sqref>
            </x14:sparkline>
            <x14:sparkline>
              <xm:f>'Capitola C40 v1.0 r1'!H17:AI17</xm:f>
              <xm:sqref>AN17</xm:sqref>
            </x14:sparkline>
            <x14:sparkline>
              <xm:f>'Capitola C40 v1.0 r1'!H18:AI18</xm:f>
              <xm:sqref>AN18</xm:sqref>
            </x14:sparkline>
            <x14:sparkline>
              <xm:f>'Capitola C40 v1.0 r1'!H19:AI19</xm:f>
              <xm:sqref>AN19</xm:sqref>
            </x14:sparkline>
            <x14:sparkline>
              <xm:f>'Capitola C40 v1.0 r1'!H20:AI20</xm:f>
              <xm:sqref>AN20</xm:sqref>
            </x14:sparkline>
            <x14:sparkline>
              <xm:f>'Capitola C40 v1.0 r1'!H21:AI21</xm:f>
              <xm:sqref>AN21</xm:sqref>
            </x14:sparkline>
            <x14:sparkline>
              <xm:f>'Capitola C40 v1.0 r1'!H22:AI22</xm:f>
              <xm:sqref>AN22</xm:sqref>
            </x14:sparkline>
            <x14:sparkline>
              <xm:f>'Capitola C40 v1.0 r1'!H23:AI23</xm:f>
              <xm:sqref>AN23</xm:sqref>
            </x14:sparkline>
            <x14:sparkline>
              <xm:f>'Capitola C40 v1.0 r1'!H24:AI24</xm:f>
              <xm:sqref>AN24</xm:sqref>
            </x14:sparkline>
            <x14:sparkline>
              <xm:f>'Capitola C40 v1.0 r1'!H25:AI25</xm:f>
              <xm:sqref>AN25</xm:sqref>
            </x14:sparkline>
            <x14:sparkline>
              <xm:f>'Capitola C40 v1.0 r1'!H26:AI26</xm:f>
              <xm:sqref>AN26</xm:sqref>
            </x14:sparkline>
            <x14:sparkline>
              <xm:f>'Capitola C40 v1.0 r1'!H27:AI27</xm:f>
              <xm:sqref>AN27</xm:sqref>
            </x14:sparkline>
            <x14:sparkline>
              <xm:f>'Capitola C40 v1.0 r1'!H28:AI28</xm:f>
              <xm:sqref>AN28</xm:sqref>
            </x14:sparkline>
            <x14:sparkline>
              <xm:f>'Capitola C40 v1.0 r1'!H29:AI29</xm:f>
              <xm:sqref>AN29</xm:sqref>
            </x14:sparkline>
            <x14:sparkline>
              <xm:f>'Capitola C40 v1.0 r1'!H30:AI30</xm:f>
              <xm:sqref>AN30</xm:sqref>
            </x14:sparkline>
            <x14:sparkline>
              <xm:f>'Capitola C40 v1.0 r1'!H31:AI31</xm:f>
              <xm:sqref>AN31</xm:sqref>
            </x14:sparkline>
            <x14:sparkline>
              <xm:f>'Capitola C40 v1.0 r1'!H32:AI32</xm:f>
              <xm:sqref>AN32</xm:sqref>
            </x14:sparkline>
            <x14:sparkline>
              <xm:f>'Capitola C40 v1.0 r1'!H33:AI33</xm:f>
              <xm:sqref>AN33</xm:sqref>
            </x14:sparkline>
            <x14:sparkline>
              <xm:f>'Capitola C40 v1.0 r1'!H34:AI34</xm:f>
              <xm:sqref>AN34</xm:sqref>
            </x14:sparkline>
            <x14:sparkline>
              <xm:f>'Capitola C40 v1.0 r1'!H35:AI35</xm:f>
              <xm:sqref>AN35</xm:sqref>
            </x14:sparkline>
            <x14:sparkline>
              <xm:f>'Capitola C40 v1.0 r1'!H36:AI36</xm:f>
              <xm:sqref>AN36</xm:sqref>
            </x14:sparkline>
            <x14:sparkline>
              <xm:f>'Capitola C40 v1.0 r1'!H37:AI37</xm:f>
              <xm:sqref>AN37</xm:sqref>
            </x14:sparkline>
            <x14:sparkline>
              <xm:f>'Capitola C40 v1.0 r1'!H38:AI38</xm:f>
              <xm:sqref>AN38</xm:sqref>
            </x14:sparkline>
            <x14:sparkline>
              <xm:f>'Capitola C40 v1.0 r1'!H39:AI39</xm:f>
              <xm:sqref>AN39</xm:sqref>
            </x14:sparkline>
            <x14:sparkline>
              <xm:f>'Capitola C40 v1.0 r1'!H40:AI40</xm:f>
              <xm:sqref>AN40</xm:sqref>
            </x14:sparkline>
            <x14:sparkline>
              <xm:f>'Capitola C40 v1.0 r1'!H41:AI41</xm:f>
              <xm:sqref>AN41</xm:sqref>
            </x14:sparkline>
            <x14:sparkline>
              <xm:f>'Capitola C40 v1.0 r1'!H42:AI42</xm:f>
              <xm:sqref>AN42</xm:sqref>
            </x14:sparkline>
            <x14:sparkline>
              <xm:f>'Capitola C40 v1.0 r1'!H43:AI43</xm:f>
              <xm:sqref>AN43</xm:sqref>
            </x14:sparkline>
            <x14:sparkline>
              <xm:f>'Capitola C40 v1.0 r1'!H44:AI44</xm:f>
              <xm:sqref>AN44</xm:sqref>
            </x14:sparkline>
            <x14:sparkline>
              <xm:f>'Capitola C40 v1.0 r1'!H45:AI45</xm:f>
              <xm:sqref>AN45</xm:sqref>
            </x14:sparkline>
            <x14:sparkline>
              <xm:f>'Capitola C40 v1.0 r1'!H46:AI46</xm:f>
              <xm:sqref>AN46</xm:sqref>
            </x14:sparkline>
            <x14:sparkline>
              <xm:f>'Capitola C40 v1.0 r1'!H47:AI47</xm:f>
              <xm:sqref>AN47</xm:sqref>
            </x14:sparkline>
            <x14:sparkline>
              <xm:f>'Capitola C40 v1.0 r1'!H48:AI48</xm:f>
              <xm:sqref>AN48</xm:sqref>
            </x14:sparkline>
            <x14:sparkline>
              <xm:f>'Capitola C40 v1.0 r1'!H49:AI49</xm:f>
              <xm:sqref>AN49</xm:sqref>
            </x14:sparkline>
            <x14:sparkline>
              <xm:f>'Capitola C40 v1.0 r1'!H50:AI50</xm:f>
              <xm:sqref>AN50</xm:sqref>
            </x14:sparkline>
            <x14:sparkline>
              <xm:f>'Capitola C40 v1.0 r1'!H51:AI51</xm:f>
              <xm:sqref>AN51</xm:sqref>
            </x14:sparkline>
            <x14:sparkline>
              <xm:f>'Capitola C40 v1.0 r1'!H52:AI52</xm:f>
              <xm:sqref>AN52</xm:sqref>
            </x14:sparkline>
            <x14:sparkline>
              <xm:f>'Capitola C40 v1.0 r1'!H53:AI53</xm:f>
              <xm:sqref>AN53</xm:sqref>
            </x14:sparkline>
            <x14:sparkline>
              <xm:f>'Capitola C40 v1.0 r1'!H54:AI54</xm:f>
              <xm:sqref>AN54</xm:sqref>
            </x14:sparkline>
            <x14:sparkline>
              <xm:f>'Capitola C40 v1.0 r1'!H55:AI55</xm:f>
              <xm:sqref>AN55</xm:sqref>
            </x14:sparkline>
            <x14:sparkline>
              <xm:f>'Capitola C40 v1.0 r1'!H56:AI56</xm:f>
              <xm:sqref>AN56</xm:sqref>
            </x14:sparkline>
            <x14:sparkline>
              <xm:f>'Capitola C40 v1.0 r1'!H57:AI57</xm:f>
              <xm:sqref>AN57</xm:sqref>
            </x14:sparkline>
            <x14:sparkline>
              <xm:f>'Capitola C40 v1.0 r1'!H58:AI58</xm:f>
              <xm:sqref>AN58</xm:sqref>
            </x14:sparkline>
            <x14:sparkline>
              <xm:f>'Capitola C40 v1.0 r1'!H59:AI59</xm:f>
              <xm:sqref>AN59</xm:sqref>
            </x14:sparkline>
            <x14:sparkline>
              <xm:f>'Capitola C40 v1.0 r1'!H60:AI60</xm:f>
              <xm:sqref>AN60</xm:sqref>
            </x14:sparkline>
            <x14:sparkline>
              <xm:f>'Capitola C40 v1.0 r1'!H61:AI61</xm:f>
              <xm:sqref>AN61</xm:sqref>
            </x14:sparkline>
            <x14:sparkline>
              <xm:f>'Capitola C40 v1.0 r1'!H62:AI62</xm:f>
              <xm:sqref>AN62</xm:sqref>
            </x14:sparkline>
            <x14:sparkline>
              <xm:f>'Capitola C40 v1.0 r1'!H63:AI63</xm:f>
              <xm:sqref>AN63</xm:sqref>
            </x14:sparkline>
            <x14:sparkline>
              <xm:f>'Capitola C40 v1.0 r1'!H64:AI64</xm:f>
              <xm:sqref>AN64</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18268-601A-47C8-B7E2-09828A4A0B6D}">
  <sheetPr published="0" codeName="Sheet6">
    <tabColor rgb="FFC00000"/>
  </sheetPr>
  <dimension ref="A1:I64"/>
  <sheetViews>
    <sheetView zoomScaleNormal="100" workbookViewId="0">
      <selection activeCell="B23" sqref="B23"/>
    </sheetView>
  </sheetViews>
  <sheetFormatPr defaultColWidth="8.42578125" defaultRowHeight="15" x14ac:dyDescent="0.25"/>
  <cols>
    <col min="1" max="1" width="12.5703125" style="2" customWidth="1"/>
    <col min="2" max="2" width="96" style="2" customWidth="1"/>
    <col min="3" max="4" width="16" style="2" customWidth="1"/>
    <col min="5" max="6" width="7.5703125" style="2" customWidth="1"/>
    <col min="7" max="11" width="7.5703125" customWidth="1"/>
    <col min="12" max="24" width="7.42578125" customWidth="1"/>
  </cols>
  <sheetData>
    <row r="1" spans="1:9" x14ac:dyDescent="0.25">
      <c r="H1" s="36"/>
      <c r="I1" s="106"/>
    </row>
    <row r="3" spans="1:9" x14ac:dyDescent="0.25">
      <c r="B3" s="151"/>
      <c r="C3" s="151"/>
      <c r="D3" s="151"/>
      <c r="E3" s="75"/>
      <c r="F3" s="75"/>
    </row>
    <row r="4" spans="1:9" x14ac:dyDescent="0.25">
      <c r="C4" s="152"/>
      <c r="D4" s="152"/>
      <c r="E4" s="76"/>
      <c r="F4" s="76"/>
    </row>
    <row r="5" spans="1:9" x14ac:dyDescent="0.25">
      <c r="B5" s="152"/>
      <c r="C5" s="152"/>
      <c r="D5" s="152"/>
      <c r="E5" s="76"/>
      <c r="F5" s="76"/>
    </row>
    <row r="6" spans="1:9" x14ac:dyDescent="0.25">
      <c r="B6" s="153"/>
      <c r="C6" s="152"/>
      <c r="D6" s="153"/>
      <c r="E6" s="76"/>
      <c r="F6" s="76"/>
    </row>
    <row r="7" spans="1:9" x14ac:dyDescent="0.25">
      <c r="B7" s="153"/>
      <c r="C7" s="152"/>
      <c r="D7" s="153"/>
      <c r="E7" s="76"/>
      <c r="F7" s="76"/>
    </row>
    <row r="8" spans="1:9" x14ac:dyDescent="0.25">
      <c r="B8" s="154"/>
      <c r="C8" s="152"/>
      <c r="D8" s="154"/>
      <c r="E8" s="77"/>
      <c r="F8" s="77"/>
    </row>
    <row r="9" spans="1:9" x14ac:dyDescent="0.25">
      <c r="B9" s="154"/>
      <c r="C9" s="152"/>
      <c r="D9" s="154"/>
      <c r="E9" s="77"/>
      <c r="F9" s="77"/>
    </row>
    <row r="10" spans="1:9" x14ac:dyDescent="0.25">
      <c r="B10" s="153"/>
      <c r="C10" s="152"/>
      <c r="D10" s="153"/>
      <c r="E10" s="76"/>
      <c r="F10" s="76"/>
    </row>
    <row r="11" spans="1:9" x14ac:dyDescent="0.25">
      <c r="A11" s="242"/>
      <c r="B11" s="242"/>
      <c r="C11" s="242"/>
      <c r="D11" s="242"/>
      <c r="E11" s="76"/>
      <c r="F11" s="76"/>
    </row>
    <row r="12" spans="1:9" x14ac:dyDescent="0.25">
      <c r="B12" s="153"/>
      <c r="C12" s="152"/>
      <c r="D12" s="153"/>
      <c r="E12" s="78"/>
      <c r="F12" s="78"/>
    </row>
    <row r="13" spans="1:9" x14ac:dyDescent="0.25">
      <c r="A13" s="158"/>
      <c r="B13" s="158"/>
      <c r="C13" s="158"/>
      <c r="D13" s="158"/>
      <c r="E13" s="78"/>
      <c r="F13" s="78"/>
    </row>
    <row r="14" spans="1:9" x14ac:dyDescent="0.25">
      <c r="A14" s="155"/>
      <c r="B14" s="163"/>
      <c r="C14" s="155"/>
      <c r="D14" s="155"/>
      <c r="E14" s="78"/>
      <c r="F14" s="78"/>
    </row>
    <row r="15" spans="1:9" x14ac:dyDescent="0.25">
      <c r="A15" s="155"/>
      <c r="B15" s="163"/>
      <c r="C15" s="155"/>
      <c r="D15" s="155"/>
      <c r="E15" s="78"/>
      <c r="F15" s="78"/>
    </row>
    <row r="16" spans="1:9" x14ac:dyDescent="0.25">
      <c r="A16" s="155"/>
      <c r="B16" s="163"/>
      <c r="C16" s="155"/>
      <c r="D16" s="155"/>
      <c r="E16" s="75"/>
      <c r="F16" s="75"/>
    </row>
    <row r="17" spans="1:6" x14ac:dyDescent="0.25">
      <c r="A17" s="155"/>
      <c r="B17" s="163"/>
      <c r="C17" s="155"/>
      <c r="D17" s="155"/>
      <c r="E17" s="78"/>
      <c r="F17" s="78"/>
    </row>
    <row r="18" spans="1:6" x14ac:dyDescent="0.25">
      <c r="A18" s="155"/>
      <c r="B18" s="163"/>
      <c r="C18" s="155"/>
      <c r="D18" s="155"/>
      <c r="E18" s="78"/>
      <c r="F18" s="78"/>
    </row>
    <row r="19" spans="1:6" x14ac:dyDescent="0.25">
      <c r="A19" s="155"/>
      <c r="B19" s="163"/>
      <c r="C19" s="164"/>
      <c r="D19" s="155"/>
      <c r="E19" s="78"/>
      <c r="F19" s="78"/>
    </row>
    <row r="20" spans="1:6" x14ac:dyDescent="0.25">
      <c r="B20" s="156"/>
      <c r="C20" s="156"/>
      <c r="D20" s="156"/>
      <c r="E20" s="79"/>
      <c r="F20" s="78"/>
    </row>
    <row r="21" spans="1:6" x14ac:dyDescent="0.25">
      <c r="B21" s="153"/>
      <c r="C21" s="153"/>
      <c r="D21" s="153"/>
      <c r="E21" s="78"/>
      <c r="F21" s="78"/>
    </row>
    <row r="22" spans="1:6" x14ac:dyDescent="0.25">
      <c r="B22" s="153"/>
      <c r="C22" s="153"/>
      <c r="D22" s="153"/>
      <c r="E22" s="78"/>
      <c r="F22" s="78"/>
    </row>
    <row r="23" spans="1:6" x14ac:dyDescent="0.25">
      <c r="B23" s="151"/>
      <c r="C23" s="151"/>
      <c r="D23" s="151"/>
      <c r="E23" s="75"/>
      <c r="F23" s="75"/>
    </row>
    <row r="24" spans="1:6" x14ac:dyDescent="0.25">
      <c r="A24" s="12"/>
      <c r="B24" s="152"/>
      <c r="C24" s="152"/>
      <c r="D24" s="152"/>
      <c r="E24" s="78"/>
      <c r="F24" s="78"/>
    </row>
    <row r="25" spans="1:6" x14ac:dyDescent="0.25">
      <c r="A25" s="12"/>
      <c r="B25" s="152"/>
      <c r="C25" s="152"/>
      <c r="D25" s="152"/>
      <c r="E25" s="78"/>
      <c r="F25" s="78"/>
    </row>
    <row r="26" spans="1:6" x14ac:dyDescent="0.25">
      <c r="A26" s="12"/>
      <c r="B26" s="152"/>
      <c r="C26" s="152"/>
      <c r="D26" s="152"/>
      <c r="E26" s="78"/>
      <c r="F26" s="78"/>
    </row>
    <row r="27" spans="1:6" x14ac:dyDescent="0.25">
      <c r="A27" s="12"/>
      <c r="B27" s="153"/>
      <c r="C27" s="157"/>
      <c r="D27" s="157"/>
      <c r="E27" s="78"/>
      <c r="F27" s="78"/>
    </row>
    <row r="28" spans="1:6" x14ac:dyDescent="0.25">
      <c r="A28" s="12"/>
      <c r="B28" s="153"/>
      <c r="C28" s="153"/>
      <c r="D28" s="153"/>
      <c r="E28" s="78"/>
      <c r="F28" s="78"/>
    </row>
    <row r="29" spans="1:6" x14ac:dyDescent="0.25">
      <c r="A29" s="12"/>
      <c r="B29" s="153"/>
      <c r="C29" s="157"/>
      <c r="D29" s="153"/>
      <c r="E29" s="78"/>
      <c r="F29" s="78"/>
    </row>
    <row r="30" spans="1:6" x14ac:dyDescent="0.25">
      <c r="B30" s="153"/>
      <c r="C30" s="153"/>
      <c r="D30" s="153"/>
      <c r="E30" s="78"/>
      <c r="F30" s="78"/>
    </row>
    <row r="31" spans="1:6" x14ac:dyDescent="0.25">
      <c r="B31" s="152"/>
      <c r="C31" s="152"/>
      <c r="D31" s="152"/>
      <c r="E31" s="78"/>
      <c r="F31" s="78"/>
    </row>
    <row r="32" spans="1:6" x14ac:dyDescent="0.25">
      <c r="B32" s="152"/>
      <c r="C32" s="152"/>
      <c r="D32" s="152"/>
      <c r="E32" s="78"/>
      <c r="F32" s="78"/>
    </row>
    <row r="33" spans="2:6" x14ac:dyDescent="0.25">
      <c r="B33" s="152"/>
      <c r="C33" s="152"/>
      <c r="D33" s="152"/>
      <c r="E33" s="78"/>
      <c r="F33" s="78"/>
    </row>
    <row r="34" spans="2:6" x14ac:dyDescent="0.25">
      <c r="B34" s="152"/>
      <c r="C34" s="152"/>
      <c r="D34" s="152"/>
      <c r="E34" s="78"/>
      <c r="F34" s="78"/>
    </row>
    <row r="35" spans="2:6" x14ac:dyDescent="0.25">
      <c r="B35" s="152"/>
      <c r="C35" s="152"/>
      <c r="D35" s="152"/>
      <c r="E35" s="78"/>
      <c r="F35" s="78"/>
    </row>
    <row r="36" spans="2:6" x14ac:dyDescent="0.25">
      <c r="B36" s="153"/>
      <c r="C36" s="157"/>
      <c r="D36" s="157"/>
      <c r="E36" s="78"/>
      <c r="F36" s="78"/>
    </row>
    <row r="37" spans="2:6" x14ac:dyDescent="0.25">
      <c r="B37" s="153"/>
      <c r="C37" s="153"/>
      <c r="D37" s="153"/>
      <c r="E37" s="78"/>
      <c r="F37" s="78"/>
    </row>
    <row r="38" spans="2:6" x14ac:dyDescent="0.25">
      <c r="B38" s="153"/>
      <c r="C38" s="153"/>
      <c r="D38" s="153"/>
      <c r="E38" s="76"/>
      <c r="F38" s="76"/>
    </row>
    <row r="39" spans="2:6" x14ac:dyDescent="0.25">
      <c r="B39" s="151"/>
      <c r="C39" s="151"/>
      <c r="D39" s="151"/>
      <c r="E39" s="75"/>
      <c r="F39" s="75"/>
    </row>
    <row r="40" spans="2:6" x14ac:dyDescent="0.25">
      <c r="B40" s="153"/>
      <c r="C40" s="153"/>
      <c r="D40" s="153"/>
      <c r="E40" s="76"/>
      <c r="F40" s="76"/>
    </row>
    <row r="41" spans="2:6" x14ac:dyDescent="0.25">
      <c r="B41" s="153"/>
      <c r="C41" s="153"/>
      <c r="D41" s="153"/>
      <c r="E41" s="76"/>
      <c r="F41" s="76"/>
    </row>
    <row r="42" spans="2:6" x14ac:dyDescent="0.25">
      <c r="B42" s="153"/>
      <c r="C42" s="152"/>
      <c r="D42" s="153"/>
      <c r="E42" s="76"/>
      <c r="F42" s="76"/>
    </row>
    <row r="43" spans="2:6" x14ac:dyDescent="0.25">
      <c r="B43" s="153"/>
      <c r="C43" s="153"/>
      <c r="D43" s="153"/>
      <c r="E43" s="76"/>
      <c r="F43" s="76"/>
    </row>
    <row r="44" spans="2:6" x14ac:dyDescent="0.25">
      <c r="B44" s="153"/>
      <c r="C44" s="153"/>
      <c r="D44" s="153"/>
      <c r="E44" s="76"/>
      <c r="F44" s="76"/>
    </row>
    <row r="63" ht="33.6" customHeight="1" x14ac:dyDescent="0.25"/>
    <row r="64" ht="18" customHeight="1" x14ac:dyDescent="0.25"/>
  </sheetData>
  <mergeCells count="1">
    <mergeCell ref="A11:D11"/>
  </mergeCells>
  <pageMargins left="0.7" right="0.7" top="0.75" bottom="0.75" header="0.3" footer="0.3"/>
  <pageSetup orientation="portrait" r:id="rId1"/>
  <headerFooter>
    <oddHeader>&amp;L&amp;"Calibri"&amp;10&amp;K0000FF [AMD Official Use Only - AMD Internal Distribution Only]&amp;1#_x000D_</oddHead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6BBD-8593-4157-86E9-41E7ECC3854C}">
  <sheetPr published="0" codeName="Sheet1"/>
  <dimension ref="A3:D10"/>
  <sheetViews>
    <sheetView workbookViewId="0">
      <selection activeCell="A3" sqref="A3:D10"/>
    </sheetView>
  </sheetViews>
  <sheetFormatPr defaultRowHeight="15" x14ac:dyDescent="0.25"/>
  <cols>
    <col min="1" max="1" width="11.42578125" bestFit="1" customWidth="1"/>
    <col min="2" max="4" width="18.85546875" customWidth="1"/>
    <col min="5" max="5" width="20.140625" customWidth="1"/>
  </cols>
  <sheetData>
    <row r="3" spans="1:4" x14ac:dyDescent="0.25">
      <c r="A3" s="174" t="s">
        <v>147</v>
      </c>
      <c r="B3" s="174" t="s">
        <v>53</v>
      </c>
    </row>
    <row r="4" spans="1:4" x14ac:dyDescent="0.25">
      <c r="A4" s="174" t="s">
        <v>48</v>
      </c>
      <c r="B4" s="2" t="s">
        <v>88</v>
      </c>
      <c r="C4" s="2" t="s">
        <v>65</v>
      </c>
      <c r="D4" t="s">
        <v>114</v>
      </c>
    </row>
    <row r="5" spans="1:4" x14ac:dyDescent="0.25">
      <c r="A5" t="s">
        <v>60</v>
      </c>
      <c r="B5" s="175"/>
      <c r="C5" s="175">
        <v>19038734.688538656</v>
      </c>
      <c r="D5" s="175">
        <v>19038734.688538656</v>
      </c>
    </row>
    <row r="6" spans="1:4" x14ac:dyDescent="0.25">
      <c r="A6" t="s">
        <v>83</v>
      </c>
      <c r="B6" s="175">
        <v>199504.20603750017</v>
      </c>
      <c r="C6" s="175"/>
      <c r="D6" s="175">
        <v>199504.20603750017</v>
      </c>
    </row>
    <row r="7" spans="1:4" x14ac:dyDescent="0.25">
      <c r="A7" t="s">
        <v>90</v>
      </c>
      <c r="B7" s="175">
        <v>183843.3220420263</v>
      </c>
      <c r="C7" s="175"/>
      <c r="D7" s="175">
        <v>183843.3220420263</v>
      </c>
    </row>
    <row r="8" spans="1:4" x14ac:dyDescent="0.25">
      <c r="A8" t="s">
        <v>94</v>
      </c>
      <c r="B8" s="175">
        <v>627013.21897500043</v>
      </c>
      <c r="C8" s="175"/>
      <c r="D8" s="175">
        <v>627013.21897500043</v>
      </c>
    </row>
    <row r="9" spans="1:4" x14ac:dyDescent="0.25">
      <c r="A9" t="s">
        <v>98</v>
      </c>
      <c r="B9" s="175"/>
      <c r="C9" s="175">
        <v>2709065.6157808104</v>
      </c>
      <c r="D9" s="175">
        <v>2709065.6157808104</v>
      </c>
    </row>
    <row r="10" spans="1:4" x14ac:dyDescent="0.25">
      <c r="A10" t="s">
        <v>114</v>
      </c>
      <c r="B10" s="175">
        <v>1010360.7470545269</v>
      </c>
      <c r="C10" s="175">
        <v>21747800.304319467</v>
      </c>
      <c r="D10" s="175">
        <v>22758161.051373992</v>
      </c>
    </row>
  </sheetData>
  <pageMargins left="0.7" right="0.7" top="0.75" bottom="0.75" header="0.3" footer="0.3"/>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927DD-729A-43A6-9855-1A9CD5DA66CD}">
  <sheetPr published="0" codeName="Sheet4"/>
  <dimension ref="B2:F15"/>
  <sheetViews>
    <sheetView workbookViewId="0">
      <selection activeCell="F34" sqref="F34"/>
    </sheetView>
  </sheetViews>
  <sheetFormatPr defaultRowHeight="15" x14ac:dyDescent="0.25"/>
  <cols>
    <col min="2" max="2" width="26.42578125" customWidth="1"/>
    <col min="3" max="3" width="18.42578125" hidden="1" customWidth="1"/>
    <col min="4" max="4" width="38.42578125" style="2" bestFit="1" customWidth="1"/>
    <col min="5" max="5" width="11" customWidth="1"/>
    <col min="6" max="6" width="98.42578125" bestFit="1" customWidth="1"/>
  </cols>
  <sheetData>
    <row r="2" spans="2:6" x14ac:dyDescent="0.25">
      <c r="B2" t="s">
        <v>148</v>
      </c>
      <c r="C2" t="s">
        <v>149</v>
      </c>
      <c r="D2" s="2" t="s">
        <v>150</v>
      </c>
      <c r="E2" t="s">
        <v>34</v>
      </c>
      <c r="F2" t="s">
        <v>151</v>
      </c>
    </row>
    <row r="3" spans="2:6" x14ac:dyDescent="0.25">
      <c r="B3" s="107"/>
      <c r="C3" s="107"/>
      <c r="D3" s="107"/>
      <c r="E3" s="107"/>
      <c r="F3" s="107"/>
    </row>
    <row r="4" spans="2:6" x14ac:dyDescent="0.25">
      <c r="B4" s="107"/>
      <c r="C4" s="107"/>
      <c r="D4" s="107"/>
      <c r="E4" s="107"/>
      <c r="F4" s="107"/>
    </row>
    <row r="5" spans="2:6" x14ac:dyDescent="0.25">
      <c r="B5" s="107"/>
      <c r="C5" s="107"/>
      <c r="D5" s="107"/>
      <c r="E5" s="107"/>
      <c r="F5" s="107"/>
    </row>
    <row r="6" spans="2:6" x14ac:dyDescent="0.25">
      <c r="B6" s="107"/>
      <c r="C6" s="107"/>
      <c r="D6" s="107"/>
      <c r="E6" s="107"/>
      <c r="F6" s="107"/>
    </row>
    <row r="7" spans="2:6" x14ac:dyDescent="0.25">
      <c r="B7" s="107"/>
      <c r="C7" s="107"/>
      <c r="D7" s="107"/>
      <c r="E7" s="107"/>
      <c r="F7" s="107"/>
    </row>
    <row r="8" spans="2:6" x14ac:dyDescent="0.25">
      <c r="B8" s="107"/>
      <c r="C8" s="107"/>
      <c r="D8" s="107"/>
      <c r="E8" s="107"/>
      <c r="F8" s="107"/>
    </row>
    <row r="9" spans="2:6" x14ac:dyDescent="0.25">
      <c r="B9" s="107"/>
      <c r="C9" s="107"/>
      <c r="D9" s="107"/>
      <c r="E9" s="107"/>
      <c r="F9" s="107"/>
    </row>
    <row r="10" spans="2:6" x14ac:dyDescent="0.25">
      <c r="B10" s="107"/>
      <c r="C10" s="107"/>
      <c r="D10" s="107"/>
      <c r="E10" s="107"/>
      <c r="F10" s="107"/>
    </row>
    <row r="11" spans="2:6" x14ac:dyDescent="0.25">
      <c r="B11" s="107"/>
      <c r="C11" s="107"/>
      <c r="D11" s="107"/>
      <c r="E11" s="107"/>
      <c r="F11" s="107"/>
    </row>
    <row r="12" spans="2:6" x14ac:dyDescent="0.25">
      <c r="B12" s="76"/>
      <c r="C12" s="76"/>
      <c r="D12" s="76"/>
      <c r="E12" s="76"/>
      <c r="F12" s="107"/>
    </row>
    <row r="13" spans="2:6" x14ac:dyDescent="0.25">
      <c r="B13" s="76"/>
      <c r="C13" s="76"/>
      <c r="D13" s="76"/>
      <c r="E13" s="76"/>
      <c r="F13" s="107"/>
    </row>
    <row r="14" spans="2:6" x14ac:dyDescent="0.25">
      <c r="B14" s="76"/>
      <c r="C14" s="76"/>
      <c r="D14" s="76"/>
      <c r="E14" s="76"/>
      <c r="F14" s="107"/>
    </row>
    <row r="15" spans="2:6" x14ac:dyDescent="0.25">
      <c r="B15" s="107"/>
      <c r="C15" s="107"/>
      <c r="D15" s="107"/>
      <c r="E15" s="107"/>
      <c r="F15" s="107"/>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5CF43-4B3F-4BD9-AD64-619124911C97}">
  <sheetPr codeName="Sheet5"/>
  <dimension ref="A1:M11"/>
  <sheetViews>
    <sheetView workbookViewId="0">
      <selection sqref="A1:D1"/>
    </sheetView>
  </sheetViews>
  <sheetFormatPr defaultColWidth="8.42578125" defaultRowHeight="15" x14ac:dyDescent="0.25"/>
  <cols>
    <col min="1" max="1" width="7.42578125" style="30" customWidth="1"/>
    <col min="2" max="2" width="58.42578125" style="26" bestFit="1" customWidth="1"/>
    <col min="3" max="3" width="55" style="24" customWidth="1"/>
    <col min="4" max="4" width="13" style="24" customWidth="1"/>
    <col min="5" max="16384" width="8.42578125" style="24"/>
  </cols>
  <sheetData>
    <row r="1" spans="1:13" ht="193.35" customHeight="1" x14ac:dyDescent="0.25">
      <c r="A1" s="243" t="s">
        <v>152</v>
      </c>
      <c r="B1" s="243"/>
      <c r="C1" s="243"/>
      <c r="D1" s="243"/>
      <c r="E1" s="23"/>
      <c r="F1" s="23"/>
      <c r="G1" s="23"/>
      <c r="H1" s="23"/>
      <c r="I1" s="23"/>
      <c r="J1" s="23"/>
      <c r="K1" s="23"/>
      <c r="L1" s="23"/>
      <c r="M1" s="23"/>
    </row>
    <row r="2" spans="1:13" x14ac:dyDescent="0.25">
      <c r="A2" s="25"/>
    </row>
    <row r="4" spans="1:13" x14ac:dyDescent="0.25">
      <c r="A4" s="27"/>
      <c r="B4" s="28"/>
      <c r="C4" s="29"/>
    </row>
    <row r="5" spans="1:13" x14ac:dyDescent="0.25">
      <c r="A5" s="27"/>
      <c r="B5" s="28"/>
      <c r="C5" s="29"/>
    </row>
    <row r="6" spans="1:13" x14ac:dyDescent="0.25">
      <c r="A6" s="27"/>
      <c r="B6" s="28"/>
      <c r="C6" s="29"/>
    </row>
    <row r="7" spans="1:13" x14ac:dyDescent="0.25">
      <c r="A7" s="27"/>
      <c r="B7" s="28"/>
      <c r="C7" s="29"/>
    </row>
    <row r="8" spans="1:13" x14ac:dyDescent="0.25">
      <c r="A8" s="27"/>
      <c r="B8" s="28"/>
      <c r="C8" s="29"/>
    </row>
    <row r="9" spans="1:13" x14ac:dyDescent="0.25">
      <c r="A9" s="27"/>
      <c r="B9" s="28"/>
      <c r="C9" s="29"/>
    </row>
    <row r="10" spans="1:13" x14ac:dyDescent="0.25">
      <c r="A10" s="27"/>
      <c r="B10" s="28"/>
      <c r="C10" s="29"/>
    </row>
    <row r="11" spans="1:13" x14ac:dyDescent="0.25">
      <c r="A11" s="27"/>
      <c r="B11" s="28"/>
      <c r="C11" s="29"/>
    </row>
  </sheetData>
  <sheetProtection algorithmName="SHA-512" hashValue="XPPj/buFkrLuOnvw+Eb10GWVVBKtbOPzPNDg+N9ncAto3JKCYIjwMKCNuEN+Hjc4LpFihGTpUW2m6kIYt0t87Q==" saltValue="UQU0ze2ImD3yWstxlkAvDw==" spinCount="100000" sheet="1" objects="1" scenarios="1" selectLockedCells="1" selectUnlockedCells="1"/>
  <mergeCells count="1">
    <mergeCell ref="A1:D1"/>
  </mergeCells>
  <pageMargins left="0.7" right="0.7" top="0.75" bottom="0.75" header="0.3" footer="0.3"/>
  <headerFooter>
    <oddHeader>&amp;L&amp;"Calibri"&amp;10&amp;K0000FF [AMD Official Use Only - AMD Internal Distribution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6E1E-79D0-497F-ACC8-E6A225A638C8}">
  <sheetPr published="0" codeName="Sheet3"/>
  <dimension ref="A1:C21"/>
  <sheetViews>
    <sheetView workbookViewId="0">
      <selection sqref="A1:D1"/>
    </sheetView>
  </sheetViews>
  <sheetFormatPr defaultColWidth="8.42578125" defaultRowHeight="15" x14ac:dyDescent="0.25"/>
  <cols>
    <col min="1" max="1" width="7.42578125" style="4" customWidth="1"/>
    <col min="2" max="2" width="58.42578125" style="2" bestFit="1" customWidth="1"/>
    <col min="3" max="3" width="55" customWidth="1"/>
    <col min="4" max="4" width="13" customWidth="1"/>
  </cols>
  <sheetData>
    <row r="1" spans="1:3" x14ac:dyDescent="0.25">
      <c r="A1" s="6" t="s">
        <v>153</v>
      </c>
    </row>
    <row r="3" spans="1:3" x14ac:dyDescent="0.25">
      <c r="A3" s="8" t="s">
        <v>154</v>
      </c>
      <c r="B3" s="10" t="s">
        <v>155</v>
      </c>
      <c r="C3" s="3" t="s">
        <v>156</v>
      </c>
    </row>
    <row r="4" spans="1:3" ht="37.5" customHeight="1" x14ac:dyDescent="0.25">
      <c r="A4" s="9">
        <v>1</v>
      </c>
      <c r="B4" s="11" t="s">
        <v>157</v>
      </c>
      <c r="C4" s="5"/>
    </row>
    <row r="5" spans="1:3" ht="36" customHeight="1" x14ac:dyDescent="0.25">
      <c r="A5" s="9">
        <v>2</v>
      </c>
      <c r="B5" s="11" t="s">
        <v>158</v>
      </c>
      <c r="C5" s="5"/>
    </row>
    <row r="6" spans="1:3" ht="76.5" customHeight="1" x14ac:dyDescent="0.25">
      <c r="A6" s="9">
        <v>3</v>
      </c>
      <c r="B6" s="11" t="s">
        <v>159</v>
      </c>
      <c r="C6" s="5"/>
    </row>
    <row r="7" spans="1:3" ht="54" customHeight="1" x14ac:dyDescent="0.25">
      <c r="A7" s="9">
        <v>4</v>
      </c>
      <c r="B7" s="11" t="s">
        <v>160</v>
      </c>
      <c r="C7" s="5"/>
    </row>
    <row r="8" spans="1:3" ht="105" customHeight="1" x14ac:dyDescent="0.25">
      <c r="A8" s="9">
        <v>5</v>
      </c>
      <c r="B8" s="11" t="s">
        <v>161</v>
      </c>
      <c r="C8" s="5"/>
    </row>
    <row r="9" spans="1:3" x14ac:dyDescent="0.25">
      <c r="A9" s="1"/>
      <c r="B9" s="12"/>
      <c r="C9" s="13"/>
    </row>
    <row r="10" spans="1:3" x14ac:dyDescent="0.25">
      <c r="A10" s="1"/>
      <c r="B10" s="12"/>
      <c r="C10" s="13"/>
    </row>
    <row r="11" spans="1:3" x14ac:dyDescent="0.25">
      <c r="A11" s="1"/>
      <c r="B11" s="12"/>
      <c r="C11" s="13"/>
    </row>
    <row r="12" spans="1:3" x14ac:dyDescent="0.25">
      <c r="A12" s="1"/>
      <c r="B12" s="12"/>
      <c r="C12" s="13"/>
    </row>
    <row r="13" spans="1:3" x14ac:dyDescent="0.25">
      <c r="A13" s="1"/>
      <c r="B13" s="12"/>
      <c r="C13" s="13"/>
    </row>
    <row r="14" spans="1:3" x14ac:dyDescent="0.25">
      <c r="A14" s="1"/>
      <c r="B14" s="12"/>
      <c r="C14" s="13"/>
    </row>
    <row r="15" spans="1:3" x14ac:dyDescent="0.25">
      <c r="A15" s="1"/>
      <c r="B15" s="12"/>
      <c r="C15" s="13"/>
    </row>
    <row r="16" spans="1:3" x14ac:dyDescent="0.25">
      <c r="A16" s="1"/>
      <c r="B16" s="12"/>
      <c r="C16" s="13"/>
    </row>
    <row r="17" spans="1:3" x14ac:dyDescent="0.25">
      <c r="A17" s="1"/>
      <c r="B17" s="12"/>
      <c r="C17" s="13"/>
    </row>
    <row r="18" spans="1:3" x14ac:dyDescent="0.25">
      <c r="A18" s="1"/>
      <c r="B18" s="12"/>
      <c r="C18" s="13"/>
    </row>
    <row r="19" spans="1:3" x14ac:dyDescent="0.25">
      <c r="A19" s="1"/>
      <c r="B19" s="12"/>
      <c r="C19" s="13"/>
    </row>
    <row r="20" spans="1:3" x14ac:dyDescent="0.25">
      <c r="A20" s="1"/>
      <c r="B20" s="12"/>
      <c r="C20" s="13"/>
    </row>
    <row r="21" spans="1:3" x14ac:dyDescent="0.25">
      <c r="A21" s="1"/>
      <c r="B21" s="12"/>
      <c r="C21" s="13"/>
    </row>
  </sheetData>
  <pageMargins left="0.7" right="0.7" top="0.75" bottom="0.75" header="0.3" footer="0.3"/>
  <headerFooter>
    <oddHeader>&amp;L&amp;"Calibri"&amp;10&amp;K0000FF [AMD Official Use Only - AMD Internal Distribution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E816D-FD47-4A58-BB5D-51711E054F23}">
  <sheetPr published="0" codeName="Sheet10"/>
  <dimension ref="B1:AC123"/>
  <sheetViews>
    <sheetView workbookViewId="0">
      <pane ySplit="2" topLeftCell="A3" activePane="bottomLeft" state="frozen"/>
      <selection sqref="A1:D1"/>
      <selection pane="bottomLeft" activeCell="H2" sqref="H2:I26"/>
    </sheetView>
  </sheetViews>
  <sheetFormatPr defaultColWidth="8.42578125" defaultRowHeight="15" x14ac:dyDescent="0.25"/>
  <cols>
    <col min="1" max="1" width="8.42578125" style="94"/>
    <col min="2" max="2" width="41.42578125" style="94" bestFit="1" customWidth="1"/>
    <col min="3" max="3" width="9.42578125" style="94" bestFit="1" customWidth="1"/>
    <col min="4" max="4" width="13.42578125" style="94" bestFit="1" customWidth="1"/>
    <col min="5" max="5" width="8.42578125" style="94"/>
    <col min="6" max="12" width="12" style="94" customWidth="1"/>
    <col min="13" max="13" width="10.42578125" style="94" customWidth="1"/>
    <col min="14" max="14" width="13" style="94" customWidth="1"/>
    <col min="15" max="15" width="22.42578125" style="94" customWidth="1"/>
    <col min="16" max="16" width="30.42578125" style="94" customWidth="1"/>
    <col min="17" max="21" width="11.42578125" style="94" customWidth="1"/>
    <col min="22" max="22" width="22" style="94" customWidth="1"/>
    <col min="23" max="29" width="13.5703125" style="94" customWidth="1"/>
    <col min="30" max="16384" width="8.42578125" style="94"/>
  </cols>
  <sheetData>
    <row r="1" spans="2:29" x14ac:dyDescent="0.25">
      <c r="B1" s="169" t="s">
        <v>162</v>
      </c>
      <c r="F1" s="169" t="s">
        <v>163</v>
      </c>
      <c r="M1" s="169" t="s">
        <v>164</v>
      </c>
      <c r="N1" s="169"/>
      <c r="V1" s="169" t="s">
        <v>165</v>
      </c>
    </row>
    <row r="2" spans="2:29" x14ac:dyDescent="0.25">
      <c r="B2" s="94" t="s">
        <v>166</v>
      </c>
      <c r="C2" s="94" t="s">
        <v>48</v>
      </c>
      <c r="D2" s="94" t="s">
        <v>47</v>
      </c>
      <c r="F2" s="94" t="s">
        <v>167</v>
      </c>
      <c r="G2" s="94" t="s">
        <v>53</v>
      </c>
      <c r="H2" s="94" t="s">
        <v>168</v>
      </c>
      <c r="I2" s="94" t="s">
        <v>51</v>
      </c>
      <c r="J2" s="94" t="s">
        <v>34</v>
      </c>
      <c r="K2" s="94" t="s">
        <v>169</v>
      </c>
      <c r="M2" s="94" t="s">
        <v>170</v>
      </c>
      <c r="N2" s="94" t="s">
        <v>94</v>
      </c>
      <c r="O2" s="94" t="s">
        <v>60</v>
      </c>
      <c r="P2" s="94" t="s">
        <v>83</v>
      </c>
      <c r="Q2" s="94" t="s">
        <v>90</v>
      </c>
      <c r="R2" s="94" t="s">
        <v>171</v>
      </c>
      <c r="S2" s="94" t="s">
        <v>98</v>
      </c>
      <c r="T2" s="94" t="s">
        <v>172</v>
      </c>
      <c r="U2" s="94" t="s">
        <v>173</v>
      </c>
      <c r="V2" s="94" t="s">
        <v>174</v>
      </c>
      <c r="W2" s="94" t="s">
        <v>175</v>
      </c>
      <c r="X2" s="94" t="s">
        <v>176</v>
      </c>
      <c r="Y2" s="94" t="s">
        <v>177</v>
      </c>
      <c r="Z2" s="94" t="s">
        <v>178</v>
      </c>
      <c r="AA2" s="94" t="s">
        <v>179</v>
      </c>
      <c r="AB2" s="94" t="s">
        <v>180</v>
      </c>
      <c r="AC2" s="94" t="s">
        <v>181</v>
      </c>
    </row>
    <row r="3" spans="2:29" x14ac:dyDescent="0.25">
      <c r="B3" s="94" t="s">
        <v>182</v>
      </c>
      <c r="C3" s="94" t="s">
        <v>94</v>
      </c>
      <c r="D3" s="94" t="s">
        <v>183</v>
      </c>
      <c r="F3" s="94" t="s">
        <v>184</v>
      </c>
      <c r="G3" s="94" t="s">
        <v>88</v>
      </c>
      <c r="H3" s="170">
        <v>57001.201725000043</v>
      </c>
      <c r="I3" s="171" t="s">
        <v>86</v>
      </c>
      <c r="K3" s="94" t="s">
        <v>185</v>
      </c>
      <c r="M3" s="94" t="s">
        <v>60</v>
      </c>
      <c r="N3" s="94" t="s">
        <v>97</v>
      </c>
      <c r="O3" s="94" t="str" cm="1">
        <f t="array" ref="O3:O35">_xlfn._xlws.SORT(_xlfn.UNIQUE(_xlfn._xlws.FILTER('[1]Active Alloc_Files'!$A$3:$A$100,'[1]Active Alloc_Files'!$H$3:$H$100=O2)),,1)</f>
        <v>alloc_BTSR</v>
      </c>
      <c r="P3" s="94" t="str" cm="1">
        <f t="array" ref="P3">_xlfn._xlws.SORT(_xlfn.UNIQUE(_xlfn._xlws.FILTER('[1]Active Alloc_Files'!$A$3:$A$100,'[1]Active Alloc_Files'!$H$3:$H$100=P2)),,1)</f>
        <v>alloc_Product Security</v>
      </c>
      <c r="Q3" s="94" t="str" cm="1">
        <f t="array" ref="Q3:Q22">_xlfn._xlws.SORT(_xlfn.UNIQUE(_xlfn._xlws.FILTER('[1]Active Alloc_Files'!$A$3:$A$100,'[1]Active Alloc_Files'!$H$3:$H$100=Q2)),,1)</f>
        <v>alloc_CE Markham</v>
      </c>
      <c r="R3" s="94" t="str" cm="1">
        <f t="array" ref="R3:R11">_xlfn._xlws.SORT(_xlfn.UNIQUE(_xlfn._xlws.FILTER('[1]Active Alloc_Files'!$A$3:$A$100,'[1]Active Alloc_Files'!$H$3:$H$100=R2)),,1)</f>
        <v>alloc_SQA Client APU</v>
      </c>
      <c r="S3" s="94" t="str" cm="1">
        <f t="array" ref="S3:S17">_xlfn._xlws.SORT(_xlfn.UNIQUE(_xlfn._xlws.FILTER('[1]Active Alloc_Files'!$A$3:$A$100,'[1]Active Alloc_Files'!$H$3:$H$100=S2)),,1)</f>
        <v>alloc_Display Solution_AlexS</v>
      </c>
      <c r="T3" s="94" t="str" cm="1">
        <f t="array" ref="T3">_xlfn._xlws.SORT(_xlfn.UNIQUE(_xlfn._xlws.FILTER('[1]Active Alloc_Files'!$A$3:$A$100,'[1]Active Alloc_Files'!$H$3:$H$100=T2)),,1)</f>
        <v>alloc_ux</v>
      </c>
      <c r="U3" s="94" t="str" cm="1">
        <f t="array" ref="U3">_xlfn._xlws.SORT(_xlfn.UNIQUE(_xlfn._xlws.FILTER('[1]Active Alloc_Files'!$A$3:$A$100,'[1]Active Alloc_Files'!$H$3:$H$100=U2)),,1)</f>
        <v>alloc_Software Technologies</v>
      </c>
      <c r="V3" s="94" t="str" cm="1">
        <f t="array" ref="V3:V13">_xlfn._xlws.SORT(_xlfn.UNIQUE(_xlfn._xlws.FILTER([2]Directors!$B$2:$B$58,[2]Directors!$J$2:$J$58=N$2,"")),,1)</f>
        <v>SPG_3D_ArchNPIPM</v>
      </c>
      <c r="W3" s="94" t="str" cm="1">
        <f t="array" ref="W3:W14">_xlfn._xlws.SORT(_xlfn.UNIQUE(_xlfn._xlws.FILTER([2]Directors!$B$2:$B$58,[2]Directors!$J$2:$J$58=O$2,"")),,1)</f>
        <v>SPG_ADV Technology</v>
      </c>
      <c r="X3" s="94" t="str" cm="1">
        <f t="array" ref="X3">_xlfn._xlws.SORT(_xlfn.UNIQUE(_xlfn._xlws.FILTER([2]Directors!$B$2:$B$58,[2]Directors!$J$2:$J$58=P$2,"")),,1)</f>
        <v>SPG_Security</v>
      </c>
      <c r="Y3" s="94" t="str" cm="1">
        <f t="array" ref="Y3:Y8">_xlfn._xlws.SORT(_xlfn.UNIQUE(_xlfn._xlws.FILTER([2]Directors!$B$2:$B$58,[2]Directors!$J$2:$J$58=Q$2,"")),,1)</f>
        <v>SPG_CSE_FirstPartner_Customer Engineering</v>
      </c>
      <c r="Z3" s="94" t="str" cm="1">
        <f t="array" ref="Z3:Z5">_xlfn._xlws.SORT(_xlfn.UNIQUE(_xlfn._xlws.FILTER([2]Directors!$B$2:$B$58,[2]Directors!$J$2:$J$58=R$2,"")),,1)</f>
        <v>SPG_SSE Infrastructure</v>
      </c>
      <c r="AA3" s="94" t="str" cm="1">
        <f t="array" ref="AA3:AA7">_xlfn._xlws.SORT(_xlfn.UNIQUE(_xlfn._xlws.FILTER([2]Directors!$B$2:$B$58,[2]Directors!$J$2:$J$58=S$2,"")),,1)</f>
        <v>SPG_Display NPI</v>
      </c>
      <c r="AB3" s="94" t="str" cm="1">
        <f t="array" ref="AB3">_xlfn._xlws.SORT(_xlfn.UNIQUE(_xlfn._xlws.FILTER([2]Directors!$B$2:$B$58,[2]Directors!$J$2:$J$58=T$2,"")),,1)</f>
        <v>SPG_Roadmap Installer User Experience</v>
      </c>
      <c r="AC3" s="94" t="str" cm="1">
        <f t="array" ref="AC3">_xlfn._xlws.SORT(_xlfn.UNIQUE(_xlfn._xlws.FILTER([2]Directors!$B$2:$B$58,[2]Directors!$J$2:$J$58=U$2,"")),,1)</f>
        <v>SPG_SW Technology</v>
      </c>
    </row>
    <row r="4" spans="2:29" x14ac:dyDescent="0.25">
      <c r="B4" s="172" t="s">
        <v>186</v>
      </c>
      <c r="C4" s="94" t="s">
        <v>94</v>
      </c>
      <c r="D4" s="94" t="s">
        <v>183</v>
      </c>
      <c r="F4" s="94" t="s">
        <v>187</v>
      </c>
      <c r="G4" s="94" t="s">
        <v>65</v>
      </c>
      <c r="H4" s="170">
        <v>30452.763592115898</v>
      </c>
      <c r="I4" s="94" t="s">
        <v>188</v>
      </c>
      <c r="J4" s="94" t="s">
        <v>144</v>
      </c>
      <c r="K4" s="94" t="s">
        <v>189</v>
      </c>
      <c r="M4" s="94" t="s">
        <v>83</v>
      </c>
      <c r="O4" s="94" t="str">
        <v>alloc_CG 3D Drivers and Compilers</v>
      </c>
      <c r="Q4" s="94" t="str">
        <v>alloc_CSE_CEPM</v>
      </c>
      <c r="R4" s="94" t="str">
        <v>alloc_SQA Core and Common Services</v>
      </c>
      <c r="S4" s="94" t="str">
        <v>alloc_Display Solution_CharlieW</v>
      </c>
      <c r="V4" s="94" t="str">
        <v>SPG_3D_CQE</v>
      </c>
      <c r="W4" s="94" t="str">
        <v>SPG_FWProgMgmt</v>
      </c>
      <c r="Y4" s="94" t="str">
        <v>SPG_CSE_FirstPartner_FAST</v>
      </c>
      <c r="Z4" s="94" t="str">
        <v>SPG_SSE QA</v>
      </c>
      <c r="AA4" s="94" t="str">
        <v>SPG_MM Audio</v>
      </c>
    </row>
    <row r="5" spans="2:29" x14ac:dyDescent="0.25">
      <c r="B5" s="172" t="s">
        <v>190</v>
      </c>
      <c r="C5" s="94" t="s">
        <v>94</v>
      </c>
      <c r="D5" s="94" t="s">
        <v>183</v>
      </c>
      <c r="F5" s="94" t="s">
        <v>191</v>
      </c>
      <c r="H5" s="170">
        <v>30452.763592115898</v>
      </c>
      <c r="I5" s="171" t="s">
        <v>192</v>
      </c>
      <c r="J5" s="94" t="s">
        <v>36</v>
      </c>
      <c r="K5" s="94" t="s">
        <v>193</v>
      </c>
      <c r="M5" s="94" t="s">
        <v>173</v>
      </c>
      <c r="O5" s="94" t="str">
        <v>alloc_CP</v>
      </c>
      <c r="Q5" s="94" t="str">
        <v>alloc_CSE_CoreSW</v>
      </c>
      <c r="R5" s="94" t="str">
        <v>alloc_SQA CVSAI</v>
      </c>
      <c r="S5" s="94" t="str">
        <v>alloc_Display Solution_EricC</v>
      </c>
      <c r="V5" s="94" t="str">
        <v>SPG_3D_Perf_Arch</v>
      </c>
      <c r="W5" s="94" t="str">
        <v>SPG_Platform Security</v>
      </c>
      <c r="Y5" s="94" t="str">
        <v>SPG_Customer Eng</v>
      </c>
      <c r="Z5" s="94" t="str">
        <v>SPG_SSE RM</v>
      </c>
      <c r="AA5" s="94" t="str">
        <v>SPG_MM Video NPI</v>
      </c>
    </row>
    <row r="6" spans="2:29" x14ac:dyDescent="0.25">
      <c r="B6" s="94" t="s">
        <v>194</v>
      </c>
      <c r="C6" s="94" t="s">
        <v>94</v>
      </c>
      <c r="D6" s="94" t="s">
        <v>183</v>
      </c>
      <c r="F6" s="94" t="s">
        <v>195</v>
      </c>
      <c r="H6" s="170">
        <v>30452.763592115898</v>
      </c>
      <c r="I6" s="94" t="s">
        <v>196</v>
      </c>
      <c r="J6" s="94" t="s">
        <v>197</v>
      </c>
      <c r="K6" s="94" t="s">
        <v>198</v>
      </c>
      <c r="M6" s="94" t="s">
        <v>90</v>
      </c>
      <c r="O6" s="94" t="str">
        <v>alloc_MLS_Linux_1</v>
      </c>
      <c r="Q6" s="94" t="str">
        <v>alloc_CSE_CPMCN</v>
      </c>
      <c r="R6" s="94" t="str">
        <v>alloc_SQA GW dGPU</v>
      </c>
      <c r="S6" s="94" t="str">
        <v>alloc_Display Solution_JagM</v>
      </c>
      <c r="V6" s="94" t="str">
        <v>SPG_3D_PerfML</v>
      </c>
      <c r="W6" s="94" t="str">
        <v>SPG_Platform SW Arch</v>
      </c>
      <c r="Y6" s="94" t="str">
        <v>SPG_Mac Platform</v>
      </c>
      <c r="AA6" s="94" t="str">
        <v>SPG_MM Video NTI</v>
      </c>
    </row>
    <row r="7" spans="2:29" x14ac:dyDescent="0.25">
      <c r="B7" s="172" t="s">
        <v>199</v>
      </c>
      <c r="C7" s="94" t="s">
        <v>94</v>
      </c>
      <c r="D7" s="94" t="s">
        <v>183</v>
      </c>
      <c r="F7" s="94" t="s">
        <v>200</v>
      </c>
      <c r="H7" s="170">
        <v>30452.763592115898</v>
      </c>
      <c r="I7" s="94" t="s">
        <v>201</v>
      </c>
      <c r="M7" s="94" t="s">
        <v>94</v>
      </c>
      <c r="O7" s="94" t="str">
        <v>alloc_MLS_Linux_2</v>
      </c>
      <c r="Q7" s="94" t="str">
        <v>alloc_CSE_CPMTW</v>
      </c>
      <c r="R7" s="94" t="str">
        <v>alloc_SQA Product Support and Enablement</v>
      </c>
      <c r="S7" s="94" t="str">
        <v>alloc_Display Solution_MazenS</v>
      </c>
      <c r="V7" s="94" t="str">
        <v>SPG_3D_Tooling</v>
      </c>
      <c r="W7" s="94" t="str">
        <v>SPG_Platform Virtualization</v>
      </c>
      <c r="Y7" s="94" t="str">
        <v>SPG_Operations</v>
      </c>
      <c r="AA7" s="94" t="str">
        <v>SPG_VPE &amp; DisplayNTI</v>
      </c>
    </row>
    <row r="8" spans="2:29" x14ac:dyDescent="0.25">
      <c r="B8" s="172" t="s">
        <v>202</v>
      </c>
      <c r="C8" s="94" t="s">
        <v>94</v>
      </c>
      <c r="D8" s="94" t="s">
        <v>183</v>
      </c>
      <c r="F8" s="94" t="s">
        <v>203</v>
      </c>
      <c r="H8" s="170">
        <v>30452.763592115898</v>
      </c>
      <c r="I8" s="171" t="s">
        <v>204</v>
      </c>
      <c r="M8" s="94" t="s">
        <v>171</v>
      </c>
      <c r="O8" s="94" t="str">
        <v>alloc_MLS_Linux_3</v>
      </c>
      <c r="Q8" s="94" t="str">
        <v>alloc_CSE_Management</v>
      </c>
      <c r="R8" s="94" t="str">
        <v>alloc_SQA Solutions</v>
      </c>
      <c r="S8" s="94" t="str">
        <v>alloc_Display Solution_MichaelV</v>
      </c>
      <c r="V8" s="94" t="str">
        <v>SPG_D3D</v>
      </c>
      <c r="W8" s="94" t="str">
        <v>SPG_Platform Windows</v>
      </c>
      <c r="Y8" s="94" t="str">
        <v>SPG_SW_ProgramManagers</v>
      </c>
    </row>
    <row r="9" spans="2:29" x14ac:dyDescent="0.25">
      <c r="B9" s="172" t="s">
        <v>205</v>
      </c>
      <c r="C9" s="94" t="s">
        <v>94</v>
      </c>
      <c r="D9" s="94" t="s">
        <v>183</v>
      </c>
      <c r="F9" s="94" t="s">
        <v>206</v>
      </c>
      <c r="H9" s="170">
        <v>30138.249515086281</v>
      </c>
      <c r="I9" s="171" t="s">
        <v>63</v>
      </c>
      <c r="M9" s="94" t="s">
        <v>98</v>
      </c>
      <c r="O9" s="94" t="str">
        <v>alloc_MLS_Linux_4</v>
      </c>
      <c r="Q9" s="94" t="str">
        <v>alloc_CSE_Strategic</v>
      </c>
      <c r="R9" s="94" t="str">
        <v>alloc_SWInfra_IND</v>
      </c>
      <c r="S9" s="94" t="str">
        <v>alloc_Display Solution_NikolaC</v>
      </c>
      <c r="V9" s="94" t="str">
        <v>SPG_HYD Graphics CQE</v>
      </c>
      <c r="W9" s="94" t="str">
        <v>SPG_Platform_Linux</v>
      </c>
    </row>
    <row r="10" spans="2:29" x14ac:dyDescent="0.25">
      <c r="B10" s="94" t="s">
        <v>207</v>
      </c>
      <c r="C10" s="94" t="s">
        <v>94</v>
      </c>
      <c r="D10" s="94" t="s">
        <v>183</v>
      </c>
      <c r="F10" s="94" t="s">
        <v>208</v>
      </c>
      <c r="H10" s="170">
        <v>12203.03967741935</v>
      </c>
      <c r="I10" s="171" t="s">
        <v>209</v>
      </c>
      <c r="O10" s="94" t="str">
        <v>alloc_OS_MUL_Security_Kernel_BLR</v>
      </c>
      <c r="Q10" s="94" t="str">
        <v>alloc_CSE_SWAE</v>
      </c>
      <c r="R10" s="94" t="str">
        <v>alloc_swinfra_na</v>
      </c>
      <c r="S10" s="94" t="str">
        <v>alloc_Display Solution_VladmirVelenta</v>
      </c>
      <c r="V10" s="94" t="str">
        <v>SPG_Khronos3D</v>
      </c>
      <c r="W10" s="94" t="str">
        <v>SPG_PMFW</v>
      </c>
    </row>
    <row r="11" spans="2:29" x14ac:dyDescent="0.25">
      <c r="B11" s="94" t="s">
        <v>210</v>
      </c>
      <c r="C11" s="94" t="s">
        <v>94</v>
      </c>
      <c r="D11" s="94" t="s">
        <v>183</v>
      </c>
      <c r="F11" s="94" t="s">
        <v>211</v>
      </c>
      <c r="H11" s="170">
        <v>30452.763592115898</v>
      </c>
      <c r="I11" s="171" t="s">
        <v>212</v>
      </c>
      <c r="O11" s="94" t="str">
        <v>alloc_PFO_PM_Arch</v>
      </c>
      <c r="Q11" s="94" t="str">
        <v>alloc_CSE_TL</v>
      </c>
      <c r="R11" s="94" t="str">
        <v>alloc_swrelman</v>
      </c>
      <c r="S11" s="94" t="str">
        <v>alloc_Display_MM_VP_Direct Reports</v>
      </c>
      <c r="V11" s="94" t="str">
        <v>SPG_Mac 3D</v>
      </c>
      <c r="W11" s="94" t="str">
        <v>SPG_SPIO</v>
      </c>
    </row>
    <row r="12" spans="2:29" x14ac:dyDescent="0.25">
      <c r="B12" s="94" t="s">
        <v>213</v>
      </c>
      <c r="C12" s="94" t="s">
        <v>94</v>
      </c>
      <c r="D12" s="94" t="s">
        <v>183</v>
      </c>
      <c r="F12" s="94" t="s">
        <v>214</v>
      </c>
      <c r="H12" s="170">
        <v>26138.97</v>
      </c>
      <c r="I12" s="94" t="s">
        <v>215</v>
      </c>
      <c r="O12" s="94" t="str">
        <v>alloc_Platform SW Arch</v>
      </c>
      <c r="Q12" s="94" t="str">
        <v>alloc_PMO Common_BrianW</v>
      </c>
      <c r="S12" s="94" t="str">
        <v>alloc_Gaming_Engineering</v>
      </c>
      <c r="V12" s="94" t="str">
        <v>SPG_PAL</v>
      </c>
      <c r="W12" s="94" t="str">
        <v>SPG_VBIOS CP</v>
      </c>
    </row>
    <row r="13" spans="2:29" x14ac:dyDescent="0.25">
      <c r="B13" s="94" t="s">
        <v>216</v>
      </c>
      <c r="C13" s="94" t="s">
        <v>94</v>
      </c>
      <c r="D13" s="94" t="s">
        <v>183</v>
      </c>
      <c r="H13" s="170">
        <v>24974.506238532111</v>
      </c>
      <c r="I13" s="171" t="s">
        <v>103</v>
      </c>
      <c r="O13" s="94" t="str">
        <v>alloc_PMFW</v>
      </c>
      <c r="Q13" s="94" t="str">
        <v>alloc_PMO Common_PaulM</v>
      </c>
      <c r="S13" s="94" t="str">
        <v>alloc_mmdrivers_video_encode</v>
      </c>
      <c r="V13" s="94" t="str">
        <v>SPG_ShaderCompiler</v>
      </c>
      <c r="W13" s="94" t="str">
        <v>SPG_VBIOS RLC</v>
      </c>
    </row>
    <row r="14" spans="2:29" x14ac:dyDescent="0.25">
      <c r="B14" s="94" t="s">
        <v>217</v>
      </c>
      <c r="C14" s="94" t="s">
        <v>94</v>
      </c>
      <c r="D14" s="94" t="s">
        <v>183</v>
      </c>
      <c r="H14" s="170">
        <v>17893.502181818174</v>
      </c>
      <c r="I14" s="171" t="s">
        <v>218</v>
      </c>
      <c r="O14" s="94" t="str">
        <v>alloc_PPL_ATG</v>
      </c>
      <c r="Q14" s="94" t="str">
        <v>alloc_PMO Common_SharmilyB</v>
      </c>
      <c r="S14" s="94" t="str">
        <v>alloc_mmdrivers_video_playback_pipelines</v>
      </c>
      <c r="W14" s="94" t="str">
        <v>SPG_VBIOS VBL</v>
      </c>
    </row>
    <row r="15" spans="2:29" x14ac:dyDescent="0.25">
      <c r="B15" s="94" t="s">
        <v>219</v>
      </c>
      <c r="C15" s="94" t="s">
        <v>94</v>
      </c>
      <c r="D15" s="94" t="s">
        <v>183</v>
      </c>
      <c r="H15" s="170">
        <v>53696.445</v>
      </c>
      <c r="I15" s="94" t="s">
        <v>220</v>
      </c>
      <c r="O15" s="94" t="str">
        <v>alloc_PPL_Virtualization</v>
      </c>
      <c r="Q15" s="94" t="str">
        <v>alloc_PMO Common_VithalP</v>
      </c>
      <c r="S15" s="94" t="str">
        <v>alloc_SWDEV_HYD_MM_Audio_NonWin</v>
      </c>
    </row>
    <row r="16" spans="2:29" x14ac:dyDescent="0.25">
      <c r="B16" s="94" t="s">
        <v>221</v>
      </c>
      <c r="C16" s="94" t="s">
        <v>94</v>
      </c>
      <c r="D16" s="94" t="s">
        <v>183</v>
      </c>
      <c r="H16" s="170">
        <v>35285.140714285713</v>
      </c>
      <c r="I16" s="171" t="s">
        <v>222</v>
      </c>
      <c r="O16" s="94" t="str">
        <v>alloc_PSPSecurity_MKM</v>
      </c>
      <c r="Q16" s="94" t="str">
        <v>alloc_Program Management_AlejandroR</v>
      </c>
      <c r="S16" s="94" t="str">
        <v>alloc_SWDEV_HYD_MM_Audio_Win</v>
      </c>
    </row>
    <row r="17" spans="2:19" x14ac:dyDescent="0.25">
      <c r="B17" s="94" t="s">
        <v>223</v>
      </c>
      <c r="C17" s="94" t="s">
        <v>94</v>
      </c>
      <c r="D17" s="94" t="s">
        <v>183</v>
      </c>
      <c r="H17" s="170">
        <v>41547.429999999993</v>
      </c>
      <c r="I17" s="171" t="s">
        <v>224</v>
      </c>
      <c r="O17" s="94" t="str">
        <v>alloc_RLC</v>
      </c>
      <c r="Q17" s="94" t="str">
        <v>alloc_Program Management_DerekY</v>
      </c>
      <c r="S17" s="94" t="str">
        <v>alloc_SWDEV_HYD_MM_Video</v>
      </c>
    </row>
    <row r="18" spans="2:19" x14ac:dyDescent="0.25">
      <c r="B18" s="94" t="s">
        <v>95</v>
      </c>
      <c r="C18" s="94" t="s">
        <v>94</v>
      </c>
      <c r="D18" s="94" t="s">
        <v>183</v>
      </c>
      <c r="H18" s="170">
        <v>50477.43</v>
      </c>
      <c r="I18" s="171" t="s">
        <v>225</v>
      </c>
      <c r="O18" s="94" t="str">
        <v>alloc_SPIO</v>
      </c>
      <c r="Q18" s="94" t="str">
        <v>alloc_Program Management_JonB</v>
      </c>
    </row>
    <row r="19" spans="2:19" x14ac:dyDescent="0.25">
      <c r="B19" s="94" t="s">
        <v>226</v>
      </c>
      <c r="C19" s="94" t="s">
        <v>94</v>
      </c>
      <c r="D19" s="94" t="s">
        <v>183</v>
      </c>
      <c r="H19" s="170">
        <v>55809.11437499999</v>
      </c>
      <c r="I19" s="171" t="s">
        <v>227</v>
      </c>
      <c r="O19" s="94" t="str">
        <v>alloc_VBL</v>
      </c>
      <c r="Q19" s="94" t="str">
        <v>alloc_Program Management_ReyE</v>
      </c>
    </row>
    <row r="20" spans="2:19" x14ac:dyDescent="0.25">
      <c r="B20" s="172" t="s">
        <v>228</v>
      </c>
      <c r="C20" s="94" t="s">
        <v>94</v>
      </c>
      <c r="D20" s="94" t="s">
        <v>183</v>
      </c>
      <c r="H20" s="170">
        <v>39047.15</v>
      </c>
      <c r="I20" s="171" t="s">
        <v>229</v>
      </c>
      <c r="O20" s="94" t="str">
        <v>alloc_VPs_DirectReports</v>
      </c>
      <c r="Q20" s="94" t="str">
        <v>alloc_Program Management_StefanT</v>
      </c>
    </row>
    <row r="21" spans="2:19" x14ac:dyDescent="0.25">
      <c r="B21" s="172" t="s">
        <v>230</v>
      </c>
      <c r="C21" s="94" t="s">
        <v>60</v>
      </c>
      <c r="D21" s="94" t="s">
        <v>231</v>
      </c>
      <c r="H21" s="170">
        <v>25848.236249999998</v>
      </c>
      <c r="I21" s="171" t="s">
        <v>232</v>
      </c>
      <c r="O21" s="94" t="str">
        <v>alloc_WSPG_BG_KMD_CORE</v>
      </c>
      <c r="Q21" s="94" t="str">
        <v>alloc_Program Management_SW Client and NOI</v>
      </c>
    </row>
    <row r="22" spans="2:19" x14ac:dyDescent="0.25">
      <c r="B22" s="172" t="s">
        <v>233</v>
      </c>
      <c r="C22" s="94" t="s">
        <v>60</v>
      </c>
      <c r="D22" s="94" t="s">
        <v>231</v>
      </c>
      <c r="H22" s="170">
        <v>27870.18</v>
      </c>
      <c r="I22" s="171" t="s">
        <v>234</v>
      </c>
      <c r="O22" s="94" t="str">
        <v>alloc_WSPG_BG_KMD_Hyderabad</v>
      </c>
      <c r="Q22" s="94" t="str">
        <v>alloc_Program Management_VioF</v>
      </c>
    </row>
    <row r="23" spans="2:19" x14ac:dyDescent="0.25">
      <c r="B23" s="172" t="s">
        <v>235</v>
      </c>
      <c r="C23" s="94" t="s">
        <v>60</v>
      </c>
      <c r="D23" s="94" t="s">
        <v>231</v>
      </c>
      <c r="H23" s="170">
        <v>12203.03967741935</v>
      </c>
      <c r="I23" s="171" t="s">
        <v>236</v>
      </c>
      <c r="O23" s="94" t="str">
        <v>alloc_WSPG_BG_KMD_Solutions_CAN</v>
      </c>
    </row>
    <row r="24" spans="2:19" x14ac:dyDescent="0.25">
      <c r="B24" s="172" t="s">
        <v>237</v>
      </c>
      <c r="C24" s="94" t="s">
        <v>60</v>
      </c>
      <c r="D24" s="94" t="s">
        <v>231</v>
      </c>
      <c r="H24" s="170">
        <v>27275.208822115485</v>
      </c>
      <c r="I24" s="94" t="s">
        <v>81</v>
      </c>
      <c r="O24" s="94" t="str">
        <v>alloc_WSPG_BG_KMD_SRDC</v>
      </c>
    </row>
    <row r="25" spans="2:19" x14ac:dyDescent="0.25">
      <c r="B25" s="94" t="s">
        <v>126</v>
      </c>
      <c r="C25" s="94" t="s">
        <v>60</v>
      </c>
      <c r="D25" s="94" t="s">
        <v>231</v>
      </c>
      <c r="H25" s="170">
        <v>27275.208822115485</v>
      </c>
      <c r="I25" s="94" t="s">
        <v>238</v>
      </c>
      <c r="O25" s="94" t="str">
        <v>alloc_WSPG_BG_Leadership</v>
      </c>
    </row>
    <row r="26" spans="2:19" x14ac:dyDescent="0.25">
      <c r="B26" s="172" t="s">
        <v>239</v>
      </c>
      <c r="C26" s="94" t="s">
        <v>90</v>
      </c>
      <c r="D26" s="94" t="s">
        <v>240</v>
      </c>
      <c r="H26" s="170">
        <v>31000</v>
      </c>
      <c r="I26" s="171" t="s">
        <v>145</v>
      </c>
      <c r="O26" s="94" t="str">
        <v>alloc_WSPG_BG_System and Power</v>
      </c>
    </row>
    <row r="27" spans="2:19" x14ac:dyDescent="0.25">
      <c r="B27" s="172" t="s">
        <v>241</v>
      </c>
      <c r="C27" s="94" t="s">
        <v>90</v>
      </c>
      <c r="D27" s="94" t="s">
        <v>240</v>
      </c>
      <c r="O27" s="94" t="str">
        <v>alloc_WSPG_BG_Test and Tools</v>
      </c>
    </row>
    <row r="28" spans="2:19" x14ac:dyDescent="0.25">
      <c r="B28" s="94" t="s">
        <v>242</v>
      </c>
      <c r="C28" s="94" t="s">
        <v>90</v>
      </c>
      <c r="D28" s="94" t="s">
        <v>240</v>
      </c>
      <c r="O28" s="94" t="str">
        <v>alloc_WSPG_MsftInterface</v>
      </c>
    </row>
    <row r="29" spans="2:19" x14ac:dyDescent="0.25">
      <c r="B29" s="94" t="s">
        <v>243</v>
      </c>
      <c r="C29" s="94" t="s">
        <v>90</v>
      </c>
      <c r="D29" s="94" t="s">
        <v>240</v>
      </c>
      <c r="O29" s="94" t="str">
        <v>alloc_WSPG_PM_TL</v>
      </c>
    </row>
    <row r="30" spans="2:19" x14ac:dyDescent="0.25">
      <c r="B30" s="94" t="s">
        <v>244</v>
      </c>
      <c r="C30" s="94" t="s">
        <v>90</v>
      </c>
      <c r="D30" s="94" t="s">
        <v>240</v>
      </c>
      <c r="O30" s="94" t="str">
        <v>alloc_WSPG_QE_Core</v>
      </c>
    </row>
    <row r="31" spans="2:19" x14ac:dyDescent="0.25">
      <c r="B31" s="94" t="s">
        <v>245</v>
      </c>
      <c r="C31" s="94" t="s">
        <v>90</v>
      </c>
      <c r="D31" s="94" t="s">
        <v>240</v>
      </c>
      <c r="O31" s="94" t="str">
        <v>alloc_WSPG_QE_HYD</v>
      </c>
    </row>
    <row r="32" spans="2:19" x14ac:dyDescent="0.25">
      <c r="B32" s="94" t="s">
        <v>246</v>
      </c>
      <c r="C32" s="94" t="s">
        <v>90</v>
      </c>
      <c r="D32" s="94" t="s">
        <v>240</v>
      </c>
      <c r="O32" s="94" t="str">
        <v>alloc_WSPG_QE_MKM</v>
      </c>
    </row>
    <row r="33" spans="2:20" x14ac:dyDescent="0.25">
      <c r="B33" s="172" t="s">
        <v>247</v>
      </c>
      <c r="C33" s="94" t="s">
        <v>98</v>
      </c>
      <c r="D33" s="94" t="s">
        <v>248</v>
      </c>
      <c r="O33" s="94" t="str">
        <v>alloc_WSPG_QE_SRDC</v>
      </c>
    </row>
    <row r="34" spans="2:20" x14ac:dyDescent="0.25">
      <c r="B34" s="172" t="s">
        <v>249</v>
      </c>
      <c r="C34" s="94" t="s">
        <v>98</v>
      </c>
      <c r="D34" s="94" t="s">
        <v>248</v>
      </c>
      <c r="O34" s="94" t="str">
        <v>alloc_WSPG_QE_Stability_NTI</v>
      </c>
    </row>
    <row r="35" spans="2:20" x14ac:dyDescent="0.25">
      <c r="B35" s="172" t="s">
        <v>250</v>
      </c>
      <c r="C35" s="94" t="s">
        <v>98</v>
      </c>
      <c r="D35" s="94" t="s">
        <v>248</v>
      </c>
      <c r="O35" s="94" t="str">
        <v>alloc_WSPG_QE_TnD_NOI</v>
      </c>
    </row>
    <row r="36" spans="2:20" x14ac:dyDescent="0.25">
      <c r="B36" s="172" t="s">
        <v>251</v>
      </c>
      <c r="C36" s="94" t="s">
        <v>98</v>
      </c>
      <c r="D36" s="94" t="s">
        <v>248</v>
      </c>
    </row>
    <row r="37" spans="2:20" x14ac:dyDescent="0.25">
      <c r="B37" s="94" t="s">
        <v>11</v>
      </c>
      <c r="C37" s="94" t="s">
        <v>98</v>
      </c>
      <c r="D37" s="94" t="s">
        <v>248</v>
      </c>
    </row>
    <row r="38" spans="2:20" x14ac:dyDescent="0.25">
      <c r="B38" s="94" t="s">
        <v>252</v>
      </c>
      <c r="C38" s="94" t="s">
        <v>98</v>
      </c>
      <c r="D38" s="94" t="s">
        <v>248</v>
      </c>
    </row>
    <row r="39" spans="2:20" x14ac:dyDescent="0.25">
      <c r="B39" s="94" t="s">
        <v>253</v>
      </c>
      <c r="C39" s="94" t="s">
        <v>98</v>
      </c>
      <c r="D39" s="94" t="s">
        <v>248</v>
      </c>
    </row>
    <row r="40" spans="2:20" x14ac:dyDescent="0.25">
      <c r="B40" s="94" t="s">
        <v>101</v>
      </c>
      <c r="C40" s="94" t="s">
        <v>98</v>
      </c>
      <c r="D40" s="94" t="s">
        <v>248</v>
      </c>
    </row>
    <row r="41" spans="2:20" x14ac:dyDescent="0.25">
      <c r="B41" s="94" t="s">
        <v>254</v>
      </c>
      <c r="C41" s="94" t="s">
        <v>98</v>
      </c>
      <c r="D41" s="94" t="s">
        <v>248</v>
      </c>
    </row>
    <row r="42" spans="2:20" x14ac:dyDescent="0.25">
      <c r="B42" s="94" t="s">
        <v>255</v>
      </c>
      <c r="C42" s="94" t="s">
        <v>98</v>
      </c>
      <c r="D42" s="94" t="s">
        <v>248</v>
      </c>
    </row>
    <row r="43" spans="2:20" x14ac:dyDescent="0.25">
      <c r="B43" s="94" t="s">
        <v>105</v>
      </c>
      <c r="C43" s="94" t="s">
        <v>98</v>
      </c>
      <c r="D43" s="94" t="s">
        <v>248</v>
      </c>
      <c r="Q43" s="244"/>
      <c r="R43" s="244"/>
      <c r="S43" s="244"/>
      <c r="T43" s="244"/>
    </row>
    <row r="44" spans="2:20" x14ac:dyDescent="0.25">
      <c r="B44" s="94" t="s">
        <v>15</v>
      </c>
      <c r="C44" s="94" t="s">
        <v>98</v>
      </c>
      <c r="D44" s="94" t="s">
        <v>248</v>
      </c>
    </row>
    <row r="45" spans="2:20" x14ac:dyDescent="0.25">
      <c r="B45" s="94" t="s">
        <v>256</v>
      </c>
      <c r="C45" s="94" t="s">
        <v>98</v>
      </c>
      <c r="D45" s="94" t="s">
        <v>248</v>
      </c>
    </row>
    <row r="46" spans="2:20" x14ac:dyDescent="0.25">
      <c r="B46" s="172" t="s">
        <v>257</v>
      </c>
      <c r="C46" s="94" t="s">
        <v>60</v>
      </c>
      <c r="D46" s="94" t="s">
        <v>258</v>
      </c>
      <c r="M46" s="244"/>
      <c r="N46" s="244"/>
      <c r="O46" s="244"/>
      <c r="P46" s="244"/>
      <c r="Q46" s="244"/>
    </row>
    <row r="47" spans="2:20" x14ac:dyDescent="0.25">
      <c r="B47" s="172" t="s">
        <v>259</v>
      </c>
      <c r="C47" s="94" t="s">
        <v>60</v>
      </c>
      <c r="D47" s="94" t="s">
        <v>258</v>
      </c>
    </row>
    <row r="48" spans="2:20" x14ac:dyDescent="0.25">
      <c r="B48" s="172" t="s">
        <v>260</v>
      </c>
      <c r="C48" s="94" t="s">
        <v>60</v>
      </c>
      <c r="D48" s="94" t="s">
        <v>258</v>
      </c>
    </row>
    <row r="49" spans="2:4" x14ac:dyDescent="0.25">
      <c r="B49" s="172" t="s">
        <v>22</v>
      </c>
      <c r="C49" s="94" t="s">
        <v>60</v>
      </c>
      <c r="D49" s="94" t="s">
        <v>258</v>
      </c>
    </row>
    <row r="50" spans="2:4" x14ac:dyDescent="0.25">
      <c r="B50" s="172" t="s">
        <v>261</v>
      </c>
      <c r="C50" s="94" t="s">
        <v>60</v>
      </c>
      <c r="D50" s="94" t="s">
        <v>258</v>
      </c>
    </row>
    <row r="51" spans="2:4" x14ac:dyDescent="0.25">
      <c r="B51" s="94" t="s">
        <v>262</v>
      </c>
      <c r="C51" s="94" t="s">
        <v>60</v>
      </c>
      <c r="D51" s="94" t="s">
        <v>258</v>
      </c>
    </row>
    <row r="52" spans="2:4" x14ac:dyDescent="0.25">
      <c r="B52" s="94" t="s">
        <v>61</v>
      </c>
      <c r="C52" s="94" t="s">
        <v>60</v>
      </c>
      <c r="D52" s="94" t="s">
        <v>258</v>
      </c>
    </row>
    <row r="53" spans="2:4" x14ac:dyDescent="0.25">
      <c r="B53" s="94" t="s">
        <v>263</v>
      </c>
      <c r="C53" s="94" t="s">
        <v>60</v>
      </c>
      <c r="D53" s="94" t="s">
        <v>258</v>
      </c>
    </row>
    <row r="54" spans="2:4" x14ac:dyDescent="0.25">
      <c r="B54" s="94" t="s">
        <v>264</v>
      </c>
      <c r="C54" s="94" t="s">
        <v>60</v>
      </c>
      <c r="D54" s="94" t="s">
        <v>258</v>
      </c>
    </row>
    <row r="55" spans="2:4" x14ac:dyDescent="0.25">
      <c r="B55" s="94" t="s">
        <v>265</v>
      </c>
      <c r="C55" s="94" t="s">
        <v>60</v>
      </c>
      <c r="D55" s="94" t="s">
        <v>258</v>
      </c>
    </row>
    <row r="56" spans="2:4" x14ac:dyDescent="0.25">
      <c r="B56" s="94" t="s">
        <v>266</v>
      </c>
      <c r="C56" s="94" t="s">
        <v>60</v>
      </c>
      <c r="D56" s="94" t="s">
        <v>258</v>
      </c>
    </row>
    <row r="57" spans="2:4" x14ac:dyDescent="0.25">
      <c r="B57" s="94" t="s">
        <v>70</v>
      </c>
      <c r="C57" s="94" t="s">
        <v>60</v>
      </c>
      <c r="D57" s="94" t="s">
        <v>258</v>
      </c>
    </row>
    <row r="58" spans="2:4" x14ac:dyDescent="0.25">
      <c r="B58" s="94" t="s">
        <v>267</v>
      </c>
      <c r="C58" s="94" t="s">
        <v>60</v>
      </c>
      <c r="D58" s="94" t="s">
        <v>258</v>
      </c>
    </row>
    <row r="59" spans="2:4" x14ac:dyDescent="0.25">
      <c r="B59" s="94" t="s">
        <v>30</v>
      </c>
      <c r="C59" s="94" t="s">
        <v>60</v>
      </c>
      <c r="D59" s="94" t="s">
        <v>258</v>
      </c>
    </row>
    <row r="60" spans="2:4" x14ac:dyDescent="0.25">
      <c r="B60" s="94" t="s">
        <v>268</v>
      </c>
      <c r="C60" s="94" t="s">
        <v>60</v>
      </c>
      <c r="D60" s="94" t="s">
        <v>258</v>
      </c>
    </row>
    <row r="61" spans="2:4" x14ac:dyDescent="0.25">
      <c r="B61" s="94" t="s">
        <v>76</v>
      </c>
      <c r="C61" s="94" t="s">
        <v>60</v>
      </c>
      <c r="D61" s="94" t="s">
        <v>258</v>
      </c>
    </row>
    <row r="62" spans="2:4" x14ac:dyDescent="0.25">
      <c r="B62" s="94" t="s">
        <v>79</v>
      </c>
      <c r="C62" s="94" t="s">
        <v>60</v>
      </c>
      <c r="D62" s="94" t="s">
        <v>258</v>
      </c>
    </row>
    <row r="63" spans="2:4" x14ac:dyDescent="0.25">
      <c r="B63" s="94" t="s">
        <v>269</v>
      </c>
      <c r="C63" s="94" t="s">
        <v>60</v>
      </c>
      <c r="D63" s="94" t="s">
        <v>258</v>
      </c>
    </row>
    <row r="64" spans="2:4" x14ac:dyDescent="0.25">
      <c r="B64" s="172" t="s">
        <v>270</v>
      </c>
      <c r="C64" s="94" t="s">
        <v>60</v>
      </c>
      <c r="D64" s="94" t="s">
        <v>258</v>
      </c>
    </row>
    <row r="65" spans="2:4" x14ac:dyDescent="0.25">
      <c r="B65" s="172" t="s">
        <v>271</v>
      </c>
      <c r="C65" s="94" t="s">
        <v>60</v>
      </c>
      <c r="D65" s="94" t="s">
        <v>258</v>
      </c>
    </row>
    <row r="66" spans="2:4" x14ac:dyDescent="0.25">
      <c r="B66" s="94" t="s">
        <v>272</v>
      </c>
      <c r="C66" s="94" t="s">
        <v>60</v>
      </c>
      <c r="D66" s="94" t="s">
        <v>258</v>
      </c>
    </row>
    <row r="67" spans="2:4" x14ac:dyDescent="0.25">
      <c r="B67" s="172" t="s">
        <v>273</v>
      </c>
      <c r="C67" s="94" t="s">
        <v>60</v>
      </c>
      <c r="D67" s="94" t="s">
        <v>258</v>
      </c>
    </row>
    <row r="68" spans="2:4" x14ac:dyDescent="0.25">
      <c r="B68" s="94" t="s">
        <v>66</v>
      </c>
      <c r="C68" s="94" t="s">
        <v>60</v>
      </c>
      <c r="D68" s="94" t="s">
        <v>258</v>
      </c>
    </row>
    <row r="69" spans="2:4" x14ac:dyDescent="0.25">
      <c r="B69" s="172" t="s">
        <v>274</v>
      </c>
      <c r="C69" s="94" t="s">
        <v>60</v>
      </c>
      <c r="D69" s="94" t="s">
        <v>275</v>
      </c>
    </row>
    <row r="70" spans="2:4" x14ac:dyDescent="0.25">
      <c r="B70" s="94" t="s">
        <v>139</v>
      </c>
      <c r="C70" s="94" t="s">
        <v>60</v>
      </c>
      <c r="D70" s="94" t="s">
        <v>275</v>
      </c>
    </row>
    <row r="71" spans="2:4" x14ac:dyDescent="0.25">
      <c r="B71" s="94" t="s">
        <v>276</v>
      </c>
      <c r="C71" s="94" t="s">
        <v>60</v>
      </c>
      <c r="D71" s="94" t="s">
        <v>277</v>
      </c>
    </row>
    <row r="72" spans="2:4" x14ac:dyDescent="0.25">
      <c r="B72" s="94" t="s">
        <v>278</v>
      </c>
      <c r="C72" s="94" t="s">
        <v>60</v>
      </c>
      <c r="D72" s="94" t="s">
        <v>277</v>
      </c>
    </row>
    <row r="73" spans="2:4" x14ac:dyDescent="0.25">
      <c r="B73" s="172" t="s">
        <v>279</v>
      </c>
      <c r="C73" s="94" t="s">
        <v>60</v>
      </c>
      <c r="D73" s="94" t="s">
        <v>277</v>
      </c>
    </row>
    <row r="74" spans="2:4" x14ac:dyDescent="0.25">
      <c r="B74" s="94" t="s">
        <v>280</v>
      </c>
      <c r="C74" s="94" t="s">
        <v>60</v>
      </c>
      <c r="D74" s="94" t="s">
        <v>277</v>
      </c>
    </row>
    <row r="75" spans="2:4" x14ac:dyDescent="0.25">
      <c r="B75" s="172" t="s">
        <v>281</v>
      </c>
      <c r="C75" s="94" t="s">
        <v>60</v>
      </c>
      <c r="D75" s="94" t="s">
        <v>277</v>
      </c>
    </row>
    <row r="76" spans="2:4" x14ac:dyDescent="0.25">
      <c r="B76" s="172" t="s">
        <v>282</v>
      </c>
      <c r="C76" s="94" t="s">
        <v>60</v>
      </c>
      <c r="D76" s="94" t="s">
        <v>277</v>
      </c>
    </row>
    <row r="77" spans="2:4" x14ac:dyDescent="0.25">
      <c r="B77" s="94" t="s">
        <v>283</v>
      </c>
      <c r="C77" s="94" t="s">
        <v>60</v>
      </c>
      <c r="D77" s="94" t="s">
        <v>277</v>
      </c>
    </row>
    <row r="78" spans="2:4" x14ac:dyDescent="0.25">
      <c r="B78" s="172" t="s">
        <v>284</v>
      </c>
      <c r="C78" s="94" t="s">
        <v>60</v>
      </c>
      <c r="D78" s="94" t="s">
        <v>277</v>
      </c>
    </row>
    <row r="79" spans="2:4" x14ac:dyDescent="0.25">
      <c r="B79" s="172" t="s">
        <v>285</v>
      </c>
      <c r="C79" s="94" t="s">
        <v>60</v>
      </c>
      <c r="D79" s="94" t="s">
        <v>277</v>
      </c>
    </row>
    <row r="80" spans="2:4" x14ac:dyDescent="0.25">
      <c r="B80" s="94" t="s">
        <v>286</v>
      </c>
      <c r="C80" s="94" t="s">
        <v>60</v>
      </c>
      <c r="D80" s="94" t="s">
        <v>277</v>
      </c>
    </row>
    <row r="81" spans="2:4" x14ac:dyDescent="0.25">
      <c r="B81" s="94" t="s">
        <v>287</v>
      </c>
      <c r="C81" s="94" t="s">
        <v>60</v>
      </c>
      <c r="D81" s="94" t="s">
        <v>277</v>
      </c>
    </row>
    <row r="82" spans="2:4" x14ac:dyDescent="0.25">
      <c r="B82" s="172" t="s">
        <v>288</v>
      </c>
      <c r="C82" s="94" t="s">
        <v>60</v>
      </c>
      <c r="D82" s="94" t="s">
        <v>277</v>
      </c>
    </row>
    <row r="83" spans="2:4" x14ac:dyDescent="0.25">
      <c r="B83" s="172" t="s">
        <v>289</v>
      </c>
      <c r="C83" s="94" t="s">
        <v>60</v>
      </c>
      <c r="D83" s="94" t="s">
        <v>277</v>
      </c>
    </row>
    <row r="84" spans="2:4" x14ac:dyDescent="0.25">
      <c r="B84" s="94" t="s">
        <v>290</v>
      </c>
      <c r="C84" s="94" t="s">
        <v>60</v>
      </c>
      <c r="D84" s="94" t="s">
        <v>277</v>
      </c>
    </row>
    <row r="85" spans="2:4" x14ac:dyDescent="0.25">
      <c r="B85" s="172" t="s">
        <v>291</v>
      </c>
      <c r="C85" s="94" t="s">
        <v>83</v>
      </c>
      <c r="D85" s="94" t="s">
        <v>291</v>
      </c>
    </row>
    <row r="86" spans="2:4" x14ac:dyDescent="0.25">
      <c r="B86" s="94" t="s">
        <v>84</v>
      </c>
      <c r="C86" s="94" t="s">
        <v>83</v>
      </c>
      <c r="D86" s="94" t="s">
        <v>291</v>
      </c>
    </row>
    <row r="87" spans="2:4" x14ac:dyDescent="0.25">
      <c r="B87" s="94" t="s">
        <v>292</v>
      </c>
      <c r="C87" s="94" t="s">
        <v>171</v>
      </c>
      <c r="D87" s="94" t="s">
        <v>293</v>
      </c>
    </row>
    <row r="88" spans="2:4" x14ac:dyDescent="0.25">
      <c r="B88" s="172" t="s">
        <v>294</v>
      </c>
      <c r="C88" s="94" t="s">
        <v>171</v>
      </c>
      <c r="D88" s="94" t="s">
        <v>293</v>
      </c>
    </row>
    <row r="89" spans="2:4" x14ac:dyDescent="0.25">
      <c r="B89" s="94" t="s">
        <v>295</v>
      </c>
      <c r="C89" s="94" t="s">
        <v>171</v>
      </c>
      <c r="D89" s="94" t="s">
        <v>296</v>
      </c>
    </row>
    <row r="90" spans="2:4" x14ac:dyDescent="0.25">
      <c r="B90" s="172" t="s">
        <v>297</v>
      </c>
      <c r="C90" s="94" t="s">
        <v>171</v>
      </c>
      <c r="D90" s="94" t="s">
        <v>296</v>
      </c>
    </row>
    <row r="91" spans="2:4" x14ac:dyDescent="0.25">
      <c r="B91" s="94" t="s">
        <v>298</v>
      </c>
      <c r="C91" s="94" t="s">
        <v>171</v>
      </c>
      <c r="D91" s="94" t="s">
        <v>299</v>
      </c>
    </row>
    <row r="92" spans="2:4" x14ac:dyDescent="0.25">
      <c r="B92" s="94" t="s">
        <v>300</v>
      </c>
      <c r="C92" s="94" t="s">
        <v>90</v>
      </c>
      <c r="D92" s="94" t="s">
        <v>301</v>
      </c>
    </row>
    <row r="93" spans="2:4" x14ac:dyDescent="0.25">
      <c r="B93" s="94" t="s">
        <v>91</v>
      </c>
      <c r="C93" s="94" t="s">
        <v>90</v>
      </c>
      <c r="D93" s="94" t="s">
        <v>302</v>
      </c>
    </row>
    <row r="94" spans="2:4" x14ac:dyDescent="0.25">
      <c r="B94" s="172" t="s">
        <v>303</v>
      </c>
      <c r="C94" s="94" t="s">
        <v>90</v>
      </c>
      <c r="D94" s="94" t="s">
        <v>302</v>
      </c>
    </row>
    <row r="95" spans="2:4" x14ac:dyDescent="0.25">
      <c r="B95" s="94" t="s">
        <v>304</v>
      </c>
      <c r="C95" s="94" t="s">
        <v>172</v>
      </c>
      <c r="D95" s="94" t="s">
        <v>305</v>
      </c>
    </row>
    <row r="96" spans="2:4" x14ac:dyDescent="0.25">
      <c r="B96" s="172" t="s">
        <v>306</v>
      </c>
      <c r="C96" s="94" t="s">
        <v>60</v>
      </c>
      <c r="D96" s="94" t="s">
        <v>307</v>
      </c>
    </row>
    <row r="97" spans="2:4" x14ac:dyDescent="0.25">
      <c r="B97" s="94" t="s">
        <v>308</v>
      </c>
      <c r="C97" s="94" t="s">
        <v>60</v>
      </c>
      <c r="D97" s="94" t="s">
        <v>307</v>
      </c>
    </row>
    <row r="99" spans="2:4" x14ac:dyDescent="0.25">
      <c r="B99" s="172"/>
    </row>
    <row r="123" spans="2:2" x14ac:dyDescent="0.25">
      <c r="B123" s="172"/>
    </row>
  </sheetData>
  <sheetProtection autoFilter="0"/>
  <protectedRanges>
    <protectedRange algorithmName="SHA-512" hashValue="21f8RCaaX0mBDEbChFx6QK86dW6kaFpj3yRcqfzL28q5YQcq9A07up9HGb4Kv1SYCZTV7q7/Z0FaqJB8JUZGwg==" saltValue="utKn3G5cSCY4gJ7aWeoLAA==" spinCount="100000" sqref="B19" name="admin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24" name="admin"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25:B32" name="admin_2"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33:B49" name="admin_3"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50:B59" name="admin_4"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1" name="admin_1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2" name="admin_1_1_1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B63" name="admin_1" securityDescriptor="O:WDG:WDD:(A;;CC;;;S-1-5-21-249263827-1212357926-315576832-879671)(A;;CC;;;S-1-5-21-249263827-1212357926-315576832-1035433)(A;;CC;;;S-1-5-21-249263827-1212357926-315576832-924734)"/>
    <protectedRange algorithmName="SHA-512" hashValue="21f8RCaaX0mBDEbChFx6QK86dW6kaFpj3yRcqfzL28q5YQcq9A07up9HGb4Kv1SYCZTV7q7/Z0FaqJB8JUZGwg==" saltValue="utKn3G5cSCY4gJ7aWeoLAA==" spinCount="100000" sqref="I1 F1:H2 H3:H26 F3:G12" name="admin_5" securityDescriptor="O:WDG:WDD:(A;;CC;;;S-1-5-21-249263827-1212357926-315576832-1035433)"/>
    <protectedRange algorithmName="SHA-512" hashValue="21f8RCaaX0mBDEbChFx6QK86dW6kaFpj3yRcqfzL28q5YQcq9A07up9HGb4Kv1SYCZTV7q7/Z0FaqJB8JUZGwg==" saltValue="utKn3G5cSCY4gJ7aWeoLAA==" spinCount="100000" sqref="B1" name="admin_6" securityDescriptor="O:WDG:WDD:(A;;CC;;;S-1-5-21-249263827-1212357926-315576832-1035433)"/>
  </protectedRanges>
  <autoFilter ref="B2:D141" xr:uid="{C9DE816D-FD47-4A58-BB5D-51711E054F23}">
    <sortState xmlns:xlrd2="http://schemas.microsoft.com/office/spreadsheetml/2017/richdata2" ref="B3:D141">
      <sortCondition ref="D2:D141"/>
    </sortState>
  </autoFilter>
  <sortState xmlns:xlrd2="http://schemas.microsoft.com/office/spreadsheetml/2017/richdata2" ref="H3:I23">
    <sortCondition ref="I3:I23"/>
  </sortState>
  <mergeCells count="2">
    <mergeCell ref="M46:Q46"/>
    <mergeCell ref="Q43:T43"/>
  </mergeCells>
  <pageMargins left="0.7" right="0.7" top="0.75" bottom="0.75" header="0.3" footer="0.3"/>
  <headerFooter>
    <oddHeader>&amp;L&amp;"Calibri"&amp;10&amp;K0000FF [AMD Official Use Only - AMD Internal Distribution Only]&amp;1#_x000D_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B6AE-C172-46FF-835B-AC3D91305454}">
  <sheetPr published="0" codeName="Sheet8"/>
  <dimension ref="B2:G11"/>
  <sheetViews>
    <sheetView workbookViewId="0">
      <selection activeCell="E26" sqref="E26"/>
    </sheetView>
  </sheetViews>
  <sheetFormatPr defaultColWidth="8.5703125" defaultRowHeight="15" x14ac:dyDescent="0.25"/>
  <cols>
    <col min="1" max="1" width="9.42578125" bestFit="1" customWidth="1"/>
    <col min="2" max="2" width="38.42578125" bestFit="1" customWidth="1"/>
    <col min="3" max="3" width="10.5703125" style="4" bestFit="1" customWidth="1"/>
    <col min="7" max="7" width="11.42578125" bestFit="1" customWidth="1"/>
  </cols>
  <sheetData>
    <row r="2" spans="2:7" x14ac:dyDescent="0.25">
      <c r="B2" s="80" t="s">
        <v>120</v>
      </c>
      <c r="C2" s="83" t="s">
        <v>309</v>
      </c>
      <c r="D2" s="81" t="s">
        <v>310</v>
      </c>
      <c r="E2" s="81" t="s">
        <v>311</v>
      </c>
      <c r="F2" s="81" t="s">
        <v>312</v>
      </c>
      <c r="G2" s="80" t="s">
        <v>313</v>
      </c>
    </row>
    <row r="3" spans="2:7" x14ac:dyDescent="0.25">
      <c r="B3" s="85" t="s">
        <v>121</v>
      </c>
      <c r="C3" s="84">
        <f t="shared" ref="C3:C10" si="0">((D3/100)+(E3/100)+(F3/100))/3</f>
        <v>1</v>
      </c>
      <c r="D3" s="87">
        <v>100</v>
      </c>
      <c r="E3" s="87">
        <v>100</v>
      </c>
      <c r="F3" s="87">
        <v>100</v>
      </c>
      <c r="G3" s="69"/>
    </row>
    <row r="4" spans="2:7" x14ac:dyDescent="0.25">
      <c r="B4" s="100">
        <v>0.9</v>
      </c>
      <c r="C4" s="84">
        <f t="shared" si="0"/>
        <v>0.9</v>
      </c>
      <c r="D4" s="82">
        <v>90</v>
      </c>
      <c r="E4" s="82">
        <v>90</v>
      </c>
      <c r="F4" s="82">
        <v>90</v>
      </c>
      <c r="G4" s="69"/>
    </row>
    <row r="5" spans="2:7" x14ac:dyDescent="0.25">
      <c r="B5" s="100">
        <v>0.8</v>
      </c>
      <c r="C5" s="84">
        <f t="shared" si="0"/>
        <v>0.80000000000000016</v>
      </c>
      <c r="D5" s="82">
        <v>80</v>
      </c>
      <c r="E5" s="82">
        <v>80</v>
      </c>
      <c r="F5" s="82">
        <v>80</v>
      </c>
      <c r="G5" s="69"/>
    </row>
    <row r="6" spans="2:7" x14ac:dyDescent="0.25">
      <c r="B6" s="100">
        <v>0.7</v>
      </c>
      <c r="C6" s="84">
        <f t="shared" si="0"/>
        <v>0.69999999999999984</v>
      </c>
      <c r="D6" s="82">
        <v>70</v>
      </c>
      <c r="E6" s="82">
        <v>70</v>
      </c>
      <c r="F6" s="82">
        <v>70</v>
      </c>
      <c r="G6" s="69"/>
    </row>
    <row r="7" spans="2:7" x14ac:dyDescent="0.25">
      <c r="B7" s="100">
        <v>0.6</v>
      </c>
      <c r="C7" s="84">
        <f t="shared" si="0"/>
        <v>0.6</v>
      </c>
      <c r="D7" s="82">
        <v>60</v>
      </c>
      <c r="E7" s="82">
        <v>60</v>
      </c>
      <c r="F7" s="82">
        <v>60</v>
      </c>
      <c r="G7" s="69"/>
    </row>
    <row r="8" spans="2:7" x14ac:dyDescent="0.25">
      <c r="B8" s="100">
        <v>0.5</v>
      </c>
      <c r="C8" s="84">
        <f t="shared" si="0"/>
        <v>0.5</v>
      </c>
      <c r="D8" s="82">
        <v>50</v>
      </c>
      <c r="E8" s="82">
        <v>50</v>
      </c>
      <c r="F8" s="82">
        <v>50</v>
      </c>
      <c r="G8" s="69"/>
    </row>
    <row r="9" spans="2:7" x14ac:dyDescent="0.25">
      <c r="B9" s="100">
        <v>0.4</v>
      </c>
      <c r="C9" s="84">
        <f t="shared" si="0"/>
        <v>0.40000000000000008</v>
      </c>
      <c r="D9" s="82">
        <v>40</v>
      </c>
      <c r="E9" s="82">
        <v>40</v>
      </c>
      <c r="F9" s="82">
        <v>40</v>
      </c>
      <c r="G9" s="69"/>
    </row>
    <row r="10" spans="2:7" x14ac:dyDescent="0.25">
      <c r="B10" s="100">
        <v>0.2</v>
      </c>
      <c r="C10" s="84">
        <f t="shared" si="0"/>
        <v>0.20000000000000004</v>
      </c>
      <c r="D10" s="82">
        <v>20</v>
      </c>
      <c r="E10" s="82">
        <v>20</v>
      </c>
      <c r="F10" s="82">
        <v>20</v>
      </c>
      <c r="G10" s="69"/>
    </row>
    <row r="11" spans="2:7" x14ac:dyDescent="0.25">
      <c r="B11" s="68" t="s">
        <v>314</v>
      </c>
      <c r="C11" s="51">
        <v>0</v>
      </c>
      <c r="D11" s="82">
        <v>0</v>
      </c>
      <c r="E11" s="82">
        <v>0</v>
      </c>
      <c r="F11" s="82">
        <v>0</v>
      </c>
      <c r="G11" s="69"/>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inAxisType="group" maxAxisType="group" xr2:uid="{5A6574F0-BC6E-4447-BBF1-FC25D4335E05}">
          <x14:colorSeries theme="5"/>
          <x14:colorNegative theme="6"/>
          <x14:colorAxis rgb="FF000000"/>
          <x14:colorMarkers theme="5" tint="-0.249977111117893"/>
          <x14:colorFirst theme="5" tint="-0.249977111117893"/>
          <x14:colorLast theme="5" tint="-0.249977111117893"/>
          <x14:colorHigh theme="5" tint="-0.249977111117893"/>
          <x14:colorLow theme="5" tint="-0.249977111117893"/>
          <x14:sparklines>
            <x14:sparkline>
              <xm:f>'Ramp Scenarios'!D3:F3</xm:f>
              <xm:sqref>G3</xm:sqref>
            </x14:sparkline>
            <x14:sparkline>
              <xm:f>'Ramp Scenarios'!D4:F4</xm:f>
              <xm:sqref>G4</xm:sqref>
            </x14:sparkline>
            <x14:sparkline>
              <xm:f>'Ramp Scenarios'!D5:F5</xm:f>
              <xm:sqref>G5</xm:sqref>
            </x14:sparkline>
            <x14:sparkline>
              <xm:f>'Ramp Scenarios'!D6:F6</xm:f>
              <xm:sqref>G6</xm:sqref>
            </x14:sparkline>
            <x14:sparkline>
              <xm:f>'Ramp Scenarios'!D7:F7</xm:f>
              <xm:sqref>G7</xm:sqref>
            </x14:sparkline>
            <x14:sparkline>
              <xm:f>'Ramp Scenarios'!D8:F8</xm:f>
              <xm:sqref>G8</xm:sqref>
            </x14:sparkline>
            <x14:sparkline>
              <xm:f>'Ramp Scenarios'!D9:F9</xm:f>
              <xm:sqref>G9</xm:sqref>
            </x14:sparkline>
            <x14:sparkline>
              <xm:f>'Ramp Scenarios'!D10:F10</xm:f>
              <xm:sqref>G10</xm:sqref>
            </x14:sparkline>
            <x14:sparkline>
              <xm:f>'Ramp Scenarios'!D11:F11</xm:f>
              <xm:sqref>G11</xm:sqref>
            </x14:sparkline>
          </x14:sparklines>
        </x14:sparklineGroup>
      </x14:sparklineGroup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s xmlns="e2e1ec8f-3490-4338-9b8e-52794d771ed8" xsi:nil="true"/>
    <lcf76f155ced4ddcb4097134ff3c332f xmlns="e2e1ec8f-3490-4338-9b8e-52794d771ed8">
      <Terms xmlns="http://schemas.microsoft.com/office/infopath/2007/PartnerControls"/>
    </lcf76f155ced4ddcb4097134ff3c332f>
    <TaxCatchAll xmlns="e7daa934-9a45-4eb5-a2c4-34719f25aa06" xsi:nil="true"/>
    <SharedWithUsers xmlns="e7daa934-9a45-4eb5-a2c4-34719f25aa06">
      <UserInfo>
        <DisplayName>Vardanyan, Arevik</DisplayName>
        <AccountId>570</AccountId>
        <AccountType/>
      </UserInfo>
      <UserInfo>
        <DisplayName>Li, Tony</DisplayName>
        <AccountId>116</AccountId>
        <AccountType/>
      </UserInfo>
      <UserInfo>
        <DisplayName>Phan, Gia</DisplayName>
        <AccountId>199</AccountId>
        <AccountType/>
      </UserInfo>
      <UserInfo>
        <DisplayName>Fathi, Leila</DisplayName>
        <AccountId>704</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131E8778400724B8281303BB641C983" ma:contentTypeVersion="18" ma:contentTypeDescription="Create a new document." ma:contentTypeScope="" ma:versionID="639983125a687d3e3d3955200eb83227">
  <xsd:schema xmlns:xsd="http://www.w3.org/2001/XMLSchema" xmlns:xs="http://www.w3.org/2001/XMLSchema" xmlns:p="http://schemas.microsoft.com/office/2006/metadata/properties" xmlns:ns2="e2e1ec8f-3490-4338-9b8e-52794d771ed8" xmlns:ns3="e7daa934-9a45-4eb5-a2c4-34719f25aa06" targetNamespace="http://schemas.microsoft.com/office/2006/metadata/properties" ma:root="true" ma:fieldsID="4fd985b25e48ca5ccd742379f0874ceb" ns2:_="" ns3:_="">
    <xsd:import namespace="e2e1ec8f-3490-4338-9b8e-52794d771ed8"/>
    <xsd:import namespace="e7daa934-9a45-4eb5-a2c4-34719f25aa0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Comment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e1ec8f-3490-4338-9b8e-52794d771e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Comments" ma:index="13" nillable="true" ma:displayName="Comments" ma:format="Dropdown" ma:internalName="Comments">
      <xsd:simpleType>
        <xsd:restriction base="dms:Text">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4acc8d3-66d8-4f7f-ac2f-7fccaf6b6ed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7daa934-9a45-4eb5-a2c4-34719f25aa0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cd2df2c-624f-48e1-a8ae-ea71d636917d}" ma:internalName="TaxCatchAll" ma:showField="CatchAllData" ma:web="e7daa934-9a45-4eb5-a2c4-34719f25aa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8A8B7F-2CFB-41D3-ABA6-AFEF128E995C}">
  <ds:schemaRefs>
    <ds:schemaRef ds:uri="e7daa934-9a45-4eb5-a2c4-34719f25aa06"/>
    <ds:schemaRef ds:uri="http://schemas.openxmlformats.org/package/2006/metadata/core-properties"/>
    <ds:schemaRef ds:uri="http://purl.org/dc/elements/1.1/"/>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e2e1ec8f-3490-4338-9b8e-52794d771ed8"/>
    <ds:schemaRef ds:uri="http://purl.org/dc/dcmitype/"/>
    <ds:schemaRef ds:uri="http://purl.org/dc/terms/"/>
  </ds:schemaRefs>
</ds:datastoreItem>
</file>

<file path=customXml/itemProps2.xml><?xml version="1.0" encoding="utf-8"?>
<ds:datastoreItem xmlns:ds="http://schemas.openxmlformats.org/officeDocument/2006/customXml" ds:itemID="{4873999E-6F53-470D-B5B6-2C7CE2FA919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2e1ec8f-3490-4338-9b8e-52794d771ed8"/>
    <ds:schemaRef ds:uri="e7daa934-9a45-4eb5-a2c4-34719f25aa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11D191C-F525-480A-86B8-047076AE027E}">
  <ds:schemaRefs>
    <ds:schemaRef ds:uri="http://schemas.microsoft.com/sharepoint/v3/contenttype/forms"/>
  </ds:schemaRefs>
</ds:datastoreItem>
</file>

<file path=docMetadata/LabelInfo.xml><?xml version="1.0" encoding="utf-8"?>
<clbl:labelList xmlns:clbl="http://schemas.microsoft.com/office/2020/mipLabelMetadata">
  <clbl:label id="{dce362fe-1558-4fb5-9f64-8a6240d76441}" enabled="1" method="Privileged" siteId="{3dd8961f-e488-4e60-8e11-a82d994e183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8</vt:i4>
      </vt:variant>
    </vt:vector>
  </HeadingPairs>
  <TitlesOfParts>
    <vt:vector size="20" baseType="lpstr">
      <vt:lpstr>Assumptions (EPD)</vt:lpstr>
      <vt:lpstr>Capitola C40 v1.0 r2 (EPD)</vt:lpstr>
      <vt:lpstr>Assumptions (PAVS)</vt:lpstr>
      <vt:lpstr>Capitola C40 v1.0 r2 (PAVS)</vt:lpstr>
      <vt:lpstr>Capitola C40 v1.0 r1</vt:lpstr>
      <vt:lpstr>Info</vt:lpstr>
      <vt:lpstr>Pivot</vt:lpstr>
      <vt:lpstr>StatusTracking</vt:lpstr>
      <vt:lpstr>BrowserTab</vt:lpstr>
      <vt:lpstr>Instructions</vt:lpstr>
      <vt:lpstr>LUT</vt:lpstr>
      <vt:lpstr>Ramp Scenarios</vt:lpstr>
      <vt:lpstr>CVP</vt:lpstr>
      <vt:lpstr>HCType</vt:lpstr>
      <vt:lpstr>labour</vt:lpstr>
      <vt:lpstr>Location</vt:lpstr>
      <vt:lpstr>Rodney</vt:lpstr>
      <vt:lpstr>Scenarios</vt:lpstr>
      <vt:lpstr>Status</vt:lpstr>
      <vt:lpstr>statusnote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Administrator</dc:creator>
  <cp:keywords/>
  <dc:description/>
  <cp:lastModifiedBy>Arya, Rahul</cp:lastModifiedBy>
  <cp:revision/>
  <dcterms:created xsi:type="dcterms:W3CDTF">2022-03-11T14:40:28Z</dcterms:created>
  <dcterms:modified xsi:type="dcterms:W3CDTF">2026-06-30T15:51:48Z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8914ebd-7e6c-4e12-a031-a9906be2db14_Enabled">
    <vt:lpwstr>true</vt:lpwstr>
  </property>
  <property fmtid="{D5CDD505-2E9C-101B-9397-08002B2CF9AE}" pid="3" name="MSIP_Label_88914ebd-7e6c-4e12-a031-a9906be2db14_SetDate">
    <vt:lpwstr>2022-03-11T19:32:56Z</vt:lpwstr>
  </property>
  <property fmtid="{D5CDD505-2E9C-101B-9397-08002B2CF9AE}" pid="4" name="MSIP_Label_88914ebd-7e6c-4e12-a031-a9906be2db14_Method">
    <vt:lpwstr>Standard</vt:lpwstr>
  </property>
  <property fmtid="{D5CDD505-2E9C-101B-9397-08002B2CF9AE}" pid="5" name="MSIP_Label_88914ebd-7e6c-4e12-a031-a9906be2db14_Name">
    <vt:lpwstr>AMD Official Use Only-AIP 2.0</vt:lpwstr>
  </property>
  <property fmtid="{D5CDD505-2E9C-101B-9397-08002B2CF9AE}" pid="6" name="MSIP_Label_88914ebd-7e6c-4e12-a031-a9906be2db14_SiteId">
    <vt:lpwstr>3dd8961f-e488-4e60-8e11-a82d994e183d</vt:lpwstr>
  </property>
  <property fmtid="{D5CDD505-2E9C-101B-9397-08002B2CF9AE}" pid="7" name="MSIP_Label_88914ebd-7e6c-4e12-a031-a9906be2db14_ActionId">
    <vt:lpwstr>6595827f-628e-45f6-baaf-2117cfa5d368</vt:lpwstr>
  </property>
  <property fmtid="{D5CDD505-2E9C-101B-9397-08002B2CF9AE}" pid="8" name="MSIP_Label_88914ebd-7e6c-4e12-a031-a9906be2db14_ContentBits">
    <vt:lpwstr>1</vt:lpwstr>
  </property>
  <property fmtid="{D5CDD505-2E9C-101B-9397-08002B2CF9AE}" pid="9" name="ContentTypeId">
    <vt:lpwstr>0x0101007131E8778400724B8281303BB641C983</vt:lpwstr>
  </property>
  <property fmtid="{D5CDD505-2E9C-101B-9397-08002B2CF9AE}" pid="10" name="MediaServiceImageTags">
    <vt:lpwstr/>
  </property>
</Properties>
</file>